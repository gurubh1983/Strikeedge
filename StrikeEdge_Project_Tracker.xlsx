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hase 0 - Setup" sheetId="2" state="visible" r:id="rId4"/>
    <sheet name="Phase 1 - Data" sheetId="3" state="visible" r:id="rId5"/>
    <sheet name="Phase 2 - Screener" sheetId="4" state="visible" r:id="rId6"/>
    <sheet name="Phase 5 - AI Agents" sheetId="5" state="visible" r:id="rId7"/>
    <sheet name="Risk Register" sheetId="6" state="visible" r:id="rId8"/>
    <sheet name="Weekly Standup" sheetId="7" state="visible" r:id="rId9"/>
    <sheet name="Decisions Log" sheetId="8" state="visible" r:id="rId10"/>
    <sheet name="Testing Matrix" sheetId="9" state="visible" r:id="rId11"/>
    <sheet name="Production Checkli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<sst xmlns="http://schemas.openxmlformats.org/spreadsheetml/2006/main" count="2078" uniqueCount="852">
  <si>
    <t xml:space="preserve">STRIKEEDGE PROJECT TRACKER</t>
  </si>
  <si>
    <t xml:space="preserve">Enterprise Development Tracking System</t>
  </si>
  <si>
    <t xml:space="preserve">PROJECT INFORMATION</t>
  </si>
  <si>
    <t xml:space="preserve">Project Name:</t>
  </si>
  <si>
    <t xml:space="preserve">StrikeEdge Options Screener</t>
  </si>
  <si>
    <t xml:space="preserve">Project Manager:</t>
  </si>
  <si>
    <t xml:space="preserve">Start Date:</t>
  </si>
  <si>
    <t xml:space="preserve">Target End Date:</t>
  </si>
  <si>
    <t xml:space="preserve">Current Phase:</t>
  </si>
  <si>
    <t xml:space="preserve">Overall Status:</t>
  </si>
  <si>
    <t xml:space="preserve">Last Updated:</t>
  </si>
  <si>
    <t xml:space="preserve">2026-03-08</t>
  </si>
  <si>
    <t xml:space="preserve">Next Milestone:</t>
  </si>
  <si>
    <t xml:space="preserve">PHASE SUMMARY</t>
  </si>
  <si>
    <t xml:space="preserve">Phase</t>
  </si>
  <si>
    <t xml:space="preserve">Name</t>
  </si>
  <si>
    <t xml:space="preserve">Weeks</t>
  </si>
  <si>
    <t xml:space="preserve">Total Tasks</t>
  </si>
  <si>
    <t xml:space="preserve">Completed</t>
  </si>
  <si>
    <t xml:space="preserve">In Progress</t>
  </si>
  <si>
    <t xml:space="preserve">Blocked</t>
  </si>
  <si>
    <t xml:space="preserve">% Complete</t>
  </si>
  <si>
    <t xml:space="preserve">Status</t>
  </si>
  <si>
    <t xml:space="preserve">0</t>
  </si>
  <si>
    <t xml:space="preserve">Environment Setup</t>
  </si>
  <si>
    <t xml:space="preserve">Pre</t>
  </si>
  <si>
    <t xml:space="preserve">1</t>
  </si>
  <si>
    <t xml:space="preserve">Foundation &amp; Data Pipeline</t>
  </si>
  <si>
    <t xml:space="preserve">1-4</t>
  </si>
  <si>
    <t xml:space="preserve">2</t>
  </si>
  <si>
    <t xml:space="preserve">Screener Engine &amp; UI</t>
  </si>
  <si>
    <t xml:space="preserve">5-8</t>
  </si>
  <si>
    <t xml:space="preserve">3</t>
  </si>
  <si>
    <t xml:space="preserve">Options Data &amp; Filters</t>
  </si>
  <si>
    <t xml:space="preserve">9-12</t>
  </si>
  <si>
    <t xml:space="preserve">4</t>
  </si>
  <si>
    <t xml:space="preserve">User System</t>
  </si>
  <si>
    <t xml:space="preserve">13-16</t>
  </si>
  <si>
    <t xml:space="preserve">5</t>
  </si>
  <si>
    <t xml:space="preserve">AI Agents</t>
  </si>
  <si>
    <t xml:space="preserve">17-22</t>
  </si>
  <si>
    <t xml:space="preserve">6</t>
  </si>
  <si>
    <t xml:space="preserve">Mobile &amp; Production</t>
  </si>
  <si>
    <t xml:space="preserve">23-28</t>
  </si>
  <si>
    <t xml:space="preserve">TOTAL</t>
  </si>
  <si>
    <t xml:space="preserve">KEY METRICS</t>
  </si>
  <si>
    <t xml:space="preserve">Days Elapsed</t>
  </si>
  <si>
    <t xml:space="preserve">Tasks Completed</t>
  </si>
  <si>
    <t xml:space="preserve">Days Remaining</t>
  </si>
  <si>
    <t xml:space="preserve">Tasks In Progress</t>
  </si>
  <si>
    <t xml:space="preserve">Velocity (tasks/week)</t>
  </si>
  <si>
    <t xml:space="preserve">Tasks Blocked</t>
  </si>
  <si>
    <t xml:space="preserve">Est. Completion</t>
  </si>
  <si>
    <t xml:space="preserve">STATUS LEGEND</t>
  </si>
  <si>
    <t xml:space="preserve">⬜</t>
  </si>
  <si>
    <t xml:space="preserve">Not Started</t>
  </si>
  <si>
    <t xml:space="preserve">🟡</t>
  </si>
  <si>
    <t xml:space="preserve">✅</t>
  </si>
  <si>
    <t xml:space="preserve">Complete</t>
  </si>
  <si>
    <t xml:space="preserve">❌</t>
  </si>
  <si>
    <t xml:space="preserve">⏸️</t>
  </si>
  <si>
    <t xml:space="preserve">On Hold</t>
  </si>
  <si>
    <t xml:space="preserve">PHASE 0: ENVIRONMENT SETUP</t>
  </si>
  <si>
    <t xml:space="preserve">ID</t>
  </si>
  <si>
    <t xml:space="preserve">Task</t>
  </si>
  <si>
    <t xml:space="preserve">Category</t>
  </si>
  <si>
    <t xml:space="preserve">Priority</t>
  </si>
  <si>
    <t xml:space="preserve">Assigned To</t>
  </si>
  <si>
    <t xml:space="preserve">Start Date</t>
  </si>
  <si>
    <t xml:space="preserve">Due Date</t>
  </si>
  <si>
    <t xml:space="preserve">Completed Date</t>
  </si>
  <si>
    <t xml:space="preserve">Dependencies</t>
  </si>
  <si>
    <t xml:space="preserve">Notes</t>
  </si>
  <si>
    <t xml:space="preserve">Blockers</t>
  </si>
  <si>
    <t xml:space="preserve">0.1.1</t>
  </si>
  <si>
    <t xml:space="preserve">Install Python 3.12+</t>
  </si>
  <si>
    <t xml:space="preserve">Dev Tools</t>
  </si>
  <si>
    <t xml:space="preserve">P0</t>
  </si>
  <si>
    <t xml:space="preserve">-</t>
  </si>
  <si>
    <t xml:space="preserve">Download from python.org</t>
  </si>
  <si>
    <t xml:space="preserve">0.1.2</t>
  </si>
  <si>
    <t xml:space="preserve">Install uv package manager</t>
  </si>
  <si>
    <t xml:space="preserve">curl -LsSf https://astral.sh/uv/install.sh | sh</t>
  </si>
  <si>
    <t xml:space="preserve">0.1.3</t>
  </si>
  <si>
    <t xml:space="preserve">Verify uv installation</t>
  </si>
  <si>
    <t xml:space="preserve">uv --version</t>
  </si>
  <si>
    <t xml:space="preserve">0.1.4</t>
  </si>
  <si>
    <t xml:space="preserve">Install Node.js 20+</t>
  </si>
  <si>
    <t xml:space="preserve">Download LTS from nodejs.org</t>
  </si>
  <si>
    <t xml:space="preserve">0.1.5</t>
  </si>
  <si>
    <t xml:space="preserve">Verify Node installation</t>
  </si>
  <si>
    <t xml:space="preserve">node --version</t>
  </si>
  <si>
    <t xml:space="preserve">0.1.6</t>
  </si>
  <si>
    <t xml:space="preserve">Install Git</t>
  </si>
  <si>
    <t xml:space="preserve">0.1.7</t>
  </si>
  <si>
    <t xml:space="preserve">Install VS Code/Cursor IDE</t>
  </si>
  <si>
    <t xml:space="preserve">P1</t>
  </si>
  <si>
    <t xml:space="preserve">0.1.8</t>
  </si>
  <si>
    <t xml:space="preserve">Install Python extension</t>
  </si>
  <si>
    <t xml:space="preserve">0.1.9</t>
  </si>
  <si>
    <t xml:space="preserve">Install Pylance extension</t>
  </si>
  <si>
    <t xml:space="preserve">0.2.1</t>
  </si>
  <si>
    <t xml:space="preserve">Download Ollama</t>
  </si>
  <si>
    <t xml:space="preserve">Ollama</t>
  </si>
  <si>
    <t xml:space="preserve">https://ollama.ai</t>
  </si>
  <si>
    <t xml:space="preserve">0.2.2</t>
  </si>
  <si>
    <t xml:space="preserve">Install Ollama</t>
  </si>
  <si>
    <t xml:space="preserve">0.2.3</t>
  </si>
  <si>
    <t xml:space="preserve">Start Ollama service</t>
  </si>
  <si>
    <t xml:space="preserve">ollama serve</t>
  </si>
  <si>
    <t xml:space="preserve">0.2.4</t>
  </si>
  <si>
    <t xml:space="preserve">Pull Llama3.2 model</t>
  </si>
  <si>
    <t xml:space="preserve">ollama pull llama3.2 (~3GB)</t>
  </si>
  <si>
    <t xml:space="preserve">0.2.5</t>
  </si>
  <si>
    <t xml:space="preserve">Pull embedding model</t>
  </si>
  <si>
    <t xml:space="preserve">ollama pull nomic-embed-text</t>
  </si>
  <si>
    <t xml:space="preserve">0.2.6</t>
  </si>
  <si>
    <t xml:space="preserve">Test Ollama</t>
  </si>
  <si>
    <t xml:space="preserve">ollama run llama3.2 'Hello'</t>
  </si>
  <si>
    <t xml:space="preserve">0.2.7</t>
  </si>
  <si>
    <t xml:space="preserve">Verify models list</t>
  </si>
  <si>
    <t xml:space="preserve">ollama list</t>
  </si>
  <si>
    <t xml:space="preserve">0.3.1</t>
  </si>
  <si>
    <t xml:space="preserve">Create Angel One account</t>
  </si>
  <si>
    <t xml:space="preserve">Angel One</t>
  </si>
  <si>
    <t xml:space="preserve">If not exists</t>
  </si>
  <si>
    <t xml:space="preserve">0.3.2</t>
  </si>
  <si>
    <t xml:space="preserve">Enable API access</t>
  </si>
  <si>
    <t xml:space="preserve">In Angel One settings</t>
  </si>
  <si>
    <t xml:space="preserve">0.3.3</t>
  </si>
  <si>
    <t xml:space="preserve">Get API Key</t>
  </si>
  <si>
    <t xml:space="preserve">Save securely</t>
  </si>
  <si>
    <t xml:space="preserve">0.3.4</t>
  </si>
  <si>
    <t xml:space="preserve">Get Client ID</t>
  </si>
  <si>
    <t xml:space="preserve">0.3.5</t>
  </si>
  <si>
    <t xml:space="preserve">Set up TOTP authenticator</t>
  </si>
  <si>
    <t xml:space="preserve">Google Authenticator</t>
  </si>
  <si>
    <t xml:space="preserve">0.3.6</t>
  </si>
  <si>
    <t xml:space="preserve">Get TOTP Secret</t>
  </si>
  <si>
    <t xml:space="preserve">For automated login</t>
  </si>
  <si>
    <t xml:space="preserve">0.3.7</t>
  </si>
  <si>
    <t xml:space="preserve">Test login via app</t>
  </si>
  <si>
    <t xml:space="preserve">0.3.8</t>
  </si>
  <si>
    <t xml:space="preserve">Document credentials</t>
  </si>
  <si>
    <t xml:space="preserve">In password manager</t>
  </si>
  <si>
    <t xml:space="preserve">0.4.1</t>
  </si>
  <si>
    <t xml:space="preserve">Create project directory</t>
  </si>
  <si>
    <t xml:space="preserve">Project</t>
  </si>
  <si>
    <t xml:space="preserve">mkdir strikeedge</t>
  </si>
  <si>
    <t xml:space="preserve">PHASE 1: FOUNDATION &amp; DATA PIPELINE (Weeks 1-4)</t>
  </si>
  <si>
    <t xml:space="preserve">1.1.1</t>
  </si>
  <si>
    <t xml:space="preserve">Create database/models.py</t>
  </si>
  <si>
    <t xml:space="preserve">Database</t>
  </si>
  <si>
    <t xml:space="preserve">SQLAlchemy models</t>
  </si>
  <si>
    <t xml:space="preserve">1.1.2</t>
  </si>
  <si>
    <t xml:space="preserve">Define Instrument model</t>
  </si>
  <si>
    <t xml:space="preserve">1.1.3</t>
  </si>
  <si>
    <t xml:space="preserve">Define Candle model</t>
  </si>
  <si>
    <t xml:space="preserve">1.1.4</t>
  </si>
  <si>
    <t xml:space="preserve">Define IndicatorValue model</t>
  </si>
  <si>
    <t xml:space="preserve">1.1.5</t>
  </si>
  <si>
    <t xml:space="preserve">Define Screener model</t>
  </si>
  <si>
    <t xml:space="preserve">1.1.6</t>
  </si>
  <si>
    <t xml:space="preserve">Define ScanResult model</t>
  </si>
  <si>
    <t xml:space="preserve">1.1.7</t>
  </si>
  <si>
    <t xml:space="preserve">Define AgentJob model</t>
  </si>
  <si>
    <t xml:space="preserve">1.1.8</t>
  </si>
  <si>
    <t xml:space="preserve">Create init_db.py</t>
  </si>
  <si>
    <t xml:space="preserve">1.1.9</t>
  </si>
  <si>
    <t xml:space="preserve">Run database initialization</t>
  </si>
  <si>
    <t xml:space="preserve">1.1.10</t>
  </si>
  <si>
    <t xml:space="preserve">Verify SQLite created</t>
  </si>
  <si>
    <t xml:space="preserve">1.1.11</t>
  </si>
  <si>
    <t xml:space="preserve">Test insert instrument</t>
  </si>
  <si>
    <t xml:space="preserve">Unit test</t>
  </si>
  <si>
    <t xml:space="preserve">1.1.12</t>
  </si>
  <si>
    <t xml:space="preserve">Test query instruments</t>
  </si>
  <si>
    <t xml:space="preserve">1.2.1</t>
  </si>
  <si>
    <t xml:space="preserve">Create cache/file_cache.py</t>
  </si>
  <si>
    <t xml:space="preserve">Cache</t>
  </si>
  <si>
    <t xml:space="preserve">1.2.2</t>
  </si>
  <si>
    <t xml:space="preserve">Implement FileCache class</t>
  </si>
  <si>
    <t xml:space="preserve">1.2.3</t>
  </si>
  <si>
    <t xml:space="preserve">Implement set() with TTL</t>
  </si>
  <si>
    <t xml:space="preserve">1.2.4</t>
  </si>
  <si>
    <t xml:space="preserve">Implement get()</t>
  </si>
  <si>
    <t xml:space="preserve">1.2.5</t>
  </si>
  <si>
    <t xml:space="preserve">Implement delete()</t>
  </si>
  <si>
    <t xml:space="preserve">1.2.6</t>
  </si>
  <si>
    <t xml:space="preserve">Write cache unit tests</t>
  </si>
  <si>
    <t xml:space="preserve">1.3.1</t>
  </si>
  <si>
    <t xml:space="preserve">Create data_pipeline/angel_one.py</t>
  </si>
  <si>
    <t xml:space="preserve">1.3.2</t>
  </si>
  <si>
    <t xml:space="preserve">Install SmartAPI library</t>
  </si>
  <si>
    <t xml:space="preserve">uv add smartapi-python</t>
  </si>
  <si>
    <t xml:space="preserve">1.3.3</t>
  </si>
  <si>
    <t xml:space="preserve">Implement AngelOneClient class</t>
  </si>
  <si>
    <t xml:space="preserve">1.3.4</t>
  </si>
  <si>
    <t xml:space="preserve">Implement TOTP generation</t>
  </si>
  <si>
    <t xml:space="preserve">1.3.5</t>
  </si>
  <si>
    <t xml:space="preserve">Implement authenticate()</t>
  </si>
  <si>
    <t xml:space="preserve">1.3.6</t>
  </si>
  <si>
    <t xml:space="preserve">Test authentication</t>
  </si>
  <si>
    <t xml:space="preserve">Must succeed</t>
  </si>
  <si>
    <t xml:space="preserve">1.3.7</t>
  </si>
  <si>
    <t xml:space="preserve">Handle auth errors</t>
  </si>
  <si>
    <t xml:space="preserve">1.3.8</t>
  </si>
  <si>
    <t xml:space="preserve">Store session in cache</t>
  </si>
  <si>
    <t xml:space="preserve">1.4.1</t>
  </si>
  <si>
    <t xml:space="preserve">Implement fetch_scrip_master()</t>
  </si>
  <si>
    <t xml:space="preserve">Scrip Master</t>
  </si>
  <si>
    <t xml:space="preserve">1.4.2</t>
  </si>
  <si>
    <t xml:space="preserve">Parse scrip master JSON</t>
  </si>
  <si>
    <t xml:space="preserve">1.4.3</t>
  </si>
  <si>
    <t xml:space="preserve">Filter NFO segment</t>
  </si>
  <si>
    <t xml:space="preserve">1.4.4</t>
  </si>
  <si>
    <t xml:space="preserve">Filter OPTIDX instruments</t>
  </si>
  <si>
    <t xml:space="preserve">1.4.5</t>
  </si>
  <si>
    <t xml:space="preserve">Filter OPTSTK instruments</t>
  </si>
  <si>
    <t xml:space="preserve">1.4.6</t>
  </si>
  <si>
    <t xml:space="preserve">Extract token, symbol, strike</t>
  </si>
  <si>
    <t xml:space="preserve">1.4.7</t>
  </si>
  <si>
    <t xml:space="preserve">Store instruments in DB</t>
  </si>
  <si>
    <t xml:space="preserve">1.4.8</t>
  </si>
  <si>
    <t xml:space="preserve">Test: Count instruments</t>
  </si>
  <si>
    <t xml:space="preserve">1.4.9</t>
  </si>
  <si>
    <t xml:space="preserve">Test: Query NIFTY options</t>
  </si>
  <si>
    <t xml:space="preserve">1.4.10</t>
  </si>
  <si>
    <t xml:space="preserve">Test: Query BANKNIFTY</t>
  </si>
  <si>
    <t xml:space="preserve">1.5.1</t>
  </si>
  <si>
    <t xml:space="preserve">Create candle_fetcher.py</t>
  </si>
  <si>
    <t xml:space="preserve">Candles</t>
  </si>
  <si>
    <t xml:space="preserve">1.5.2</t>
  </si>
  <si>
    <t xml:space="preserve">Implement CandleFetcher class</t>
  </si>
  <si>
    <t xml:space="preserve">1.5.3</t>
  </si>
  <si>
    <t xml:space="preserve">Implement fetch_historical()</t>
  </si>
  <si>
    <t xml:space="preserve">1.5.4</t>
  </si>
  <si>
    <t xml:space="preserve">Support 1min timeframe</t>
  </si>
  <si>
    <t xml:space="preserve">1.5.5</t>
  </si>
  <si>
    <t xml:space="preserve">Support 5min timeframe</t>
  </si>
  <si>
    <t xml:space="preserve">1.5.6</t>
  </si>
  <si>
    <t xml:space="preserve">Support 15min timeframe</t>
  </si>
  <si>
    <t xml:space="preserve">1.5.7</t>
  </si>
  <si>
    <t xml:space="preserve">Handle pagination</t>
  </si>
  <si>
    <t xml:space="preserve">Max 500/request</t>
  </si>
  <si>
    <t xml:space="preserve">1.5.8</t>
  </si>
  <si>
    <t xml:space="preserve">Parse to DataFrame</t>
  </si>
  <si>
    <t xml:space="preserve">1.5.9</t>
  </si>
  <si>
    <t xml:space="preserve">Test: Fetch NIFTY spot</t>
  </si>
  <si>
    <t xml:space="preserve">1.5.10</t>
  </si>
  <si>
    <t xml:space="preserve">Test: Fetch strike candles</t>
  </si>
  <si>
    <t xml:space="preserve">1.6.1</t>
  </si>
  <si>
    <t xml:space="preserve">Implement store_candles()</t>
  </si>
  <si>
    <t xml:space="preserve">Storage</t>
  </si>
  <si>
    <t xml:space="preserve">1.6.2</t>
  </si>
  <si>
    <t xml:space="preserve">Implement get_candles()</t>
  </si>
  <si>
    <t xml:space="preserve">1.6.3</t>
  </si>
  <si>
    <t xml:space="preserve">Implement get_latest_candle()</t>
  </si>
  <si>
    <t xml:space="preserve">1.6.4</t>
  </si>
  <si>
    <t xml:space="preserve">Add DB indexes</t>
  </si>
  <si>
    <t xml:space="preserve">1.6.5</t>
  </si>
  <si>
    <t xml:space="preserve">Test: Store 50 candles</t>
  </si>
  <si>
    <t xml:space="preserve">1.6.6</t>
  </si>
  <si>
    <t xml:space="preserve">Test: Retrieve by date range</t>
  </si>
  <si>
    <t xml:space="preserve">1.7.1</t>
  </si>
  <si>
    <t xml:space="preserve">Create batch_fetcher.py</t>
  </si>
  <si>
    <t xml:space="preserve">Batch</t>
  </si>
  <si>
    <t xml:space="preserve">1.7.2</t>
  </si>
  <si>
    <t xml:space="preserve">Implement rate limiting</t>
  </si>
  <si>
    <t xml:space="preserve">2 req/sec</t>
  </si>
  <si>
    <t xml:space="preserve">1.7.3</t>
  </si>
  <si>
    <t xml:space="preserve">Add progress bar (rich)</t>
  </si>
  <si>
    <t xml:space="preserve">1.7.4</t>
  </si>
  <si>
    <t xml:space="preserve">Implement retry logic</t>
  </si>
  <si>
    <t xml:space="preserve">1.7.5</t>
  </si>
  <si>
    <t xml:space="preserve">Test: Fetch 10 strikes</t>
  </si>
  <si>
    <t xml:space="preserve">1.7.6</t>
  </si>
  <si>
    <t xml:space="preserve">Test: Fetch all NIFTY</t>
  </si>
  <si>
    <t xml:space="preserve">1.8.1</t>
  </si>
  <si>
    <t xml:space="preserve">Create websocket_client.py</t>
  </si>
  <si>
    <t xml:space="preserve">WebSocket</t>
  </si>
  <si>
    <t xml:space="preserve">1.8.2</t>
  </si>
  <si>
    <t xml:space="preserve">Implement WS connection</t>
  </si>
  <si>
    <t xml:space="preserve">1.8.3</t>
  </si>
  <si>
    <t xml:space="preserve">Handle reconnection</t>
  </si>
  <si>
    <t xml:space="preserve">1.8.4</t>
  </si>
  <si>
    <t xml:space="preserve">Subscribe to tick feed</t>
  </si>
  <si>
    <t xml:space="preserve">1.8.5</t>
  </si>
  <si>
    <t xml:space="preserve">Parse tick messages</t>
  </si>
  <si>
    <t xml:space="preserve">1.8.6</t>
  </si>
  <si>
    <t xml:space="preserve">Test: Receive ticks</t>
  </si>
  <si>
    <t xml:space="preserve">1.9.1</t>
  </si>
  <si>
    <t xml:space="preserve">Create tick_handler.py</t>
  </si>
  <si>
    <t xml:space="preserve">Ticks</t>
  </si>
  <si>
    <t xml:space="preserve">1.9.2</t>
  </si>
  <si>
    <t xml:space="preserve">Implement TickHandler class</t>
  </si>
  <si>
    <t xml:space="preserve">1.9.3</t>
  </si>
  <si>
    <t xml:space="preserve">Store ticks in buffer</t>
  </si>
  <si>
    <t xml:space="preserve">1.9.4</t>
  </si>
  <si>
    <t xml:space="preserve">Group by strike token</t>
  </si>
  <si>
    <t xml:space="preserve">1.9.5</t>
  </si>
  <si>
    <t xml:space="preserve">Test: Process 1000 ticks</t>
  </si>
  <si>
    <t xml:space="preserve">1.10.1</t>
  </si>
  <si>
    <t xml:space="preserve">Create candle_builder.py</t>
  </si>
  <si>
    <t xml:space="preserve">Builder</t>
  </si>
  <si>
    <t xml:space="preserve">1.10.2</t>
  </si>
  <si>
    <t xml:space="preserve">Implement CandleBuilder</t>
  </si>
  <si>
    <t xml:space="preserve">1.10.3</t>
  </si>
  <si>
    <t xml:space="preserve">Build OHLCV from ticks</t>
  </si>
  <si>
    <t xml:space="preserve">1.10.4</t>
  </si>
  <si>
    <t xml:space="preserve">Support multi-timeframe</t>
  </si>
  <si>
    <t xml:space="preserve">1.10.5</t>
  </si>
  <si>
    <t xml:space="preserve">Detect candle completion</t>
  </si>
  <si>
    <t xml:space="preserve">1.10.6</t>
  </si>
  <si>
    <t xml:space="preserve">Test: Build 1min candles</t>
  </si>
  <si>
    <t xml:space="preserve">1.10.7</t>
  </si>
  <si>
    <t xml:space="preserve">Test: Build 5min candles</t>
  </si>
  <si>
    <t xml:space="preserve">1.11.1</t>
  </si>
  <si>
    <t xml:space="preserve">Create indicators/rsi.py</t>
  </si>
  <si>
    <t xml:space="preserve">RSI</t>
  </si>
  <si>
    <t xml:space="preserve">1.11.2</t>
  </si>
  <si>
    <t xml:space="preserve">Implement RSI calculation</t>
  </si>
  <si>
    <t xml:space="preserve">1.11.3</t>
  </si>
  <si>
    <t xml:space="preserve">Support configurable period</t>
  </si>
  <si>
    <t xml:space="preserve">Default 14</t>
  </si>
  <si>
    <t xml:space="preserve">1.11.4</t>
  </si>
  <si>
    <t xml:space="preserve">Test: RSI sample data</t>
  </si>
  <si>
    <t xml:space="preserve">1.11.5</t>
  </si>
  <si>
    <t xml:space="preserve">Validate vs TradingView</t>
  </si>
  <si>
    <t xml:space="preserve">&lt; 0.5% variance</t>
  </si>
  <si>
    <t xml:space="preserve">1.12.1</t>
  </si>
  <si>
    <t xml:space="preserve">Create indicators/macd.py</t>
  </si>
  <si>
    <t xml:space="preserve">MACD</t>
  </si>
  <si>
    <t xml:space="preserve">1.12.2</t>
  </si>
  <si>
    <t xml:space="preserve">Implement MACD line</t>
  </si>
  <si>
    <t xml:space="preserve">12,26 EMA</t>
  </si>
  <si>
    <t xml:space="preserve">1.12.3</t>
  </si>
  <si>
    <t xml:space="preserve">Implement signal line</t>
  </si>
  <si>
    <t xml:space="preserve">9 EMA</t>
  </si>
  <si>
    <t xml:space="preserve">1.12.4</t>
  </si>
  <si>
    <t xml:space="preserve">Implement histogram</t>
  </si>
  <si>
    <t xml:space="preserve">1.12.5</t>
  </si>
  <si>
    <t xml:space="preserve">Test: MACD sample data</t>
  </si>
  <si>
    <t xml:space="preserve">1.13.1</t>
  </si>
  <si>
    <t xml:space="preserve">Create indicators/ema.py</t>
  </si>
  <si>
    <t xml:space="preserve">EMA</t>
  </si>
  <si>
    <t xml:space="preserve">1.13.2</t>
  </si>
  <si>
    <t xml:space="preserve">Implement EMA calculation</t>
  </si>
  <si>
    <t xml:space="preserve">1.13.3</t>
  </si>
  <si>
    <t xml:space="preserve">Support multiple periods</t>
  </si>
  <si>
    <t xml:space="preserve">9,20,50,200</t>
  </si>
  <si>
    <t xml:space="preserve">1.14.1</t>
  </si>
  <si>
    <t xml:space="preserve">Create indicators/bollinger.py</t>
  </si>
  <si>
    <t xml:space="preserve">Bollinger</t>
  </si>
  <si>
    <t xml:space="preserve">1.14.2</t>
  </si>
  <si>
    <t xml:space="preserve">Implement BB calculation</t>
  </si>
  <si>
    <t xml:space="preserve">1.15.1</t>
  </si>
  <si>
    <t xml:space="preserve">Create indicators/engine.py</t>
  </si>
  <si>
    <t xml:space="preserve">Engine</t>
  </si>
  <si>
    <t xml:space="preserve">1.15.2</t>
  </si>
  <si>
    <t xml:space="preserve">Implement IndicatorEngine</t>
  </si>
  <si>
    <t xml:space="preserve">1.15.3</t>
  </si>
  <si>
    <t xml:space="preserve">Batch indicator calculation</t>
  </si>
  <si>
    <t xml:space="preserve">1.15.4</t>
  </si>
  <si>
    <t xml:space="preserve">Store in IndicatorValue table</t>
  </si>
  <si>
    <t xml:space="preserve">1.16.1</t>
  </si>
  <si>
    <t xml:space="preserve">Integration test: Full pipeline</t>
  </si>
  <si>
    <t xml:space="preserve">Integration</t>
  </si>
  <si>
    <t xml:space="preserve">1.16.2</t>
  </si>
  <si>
    <t xml:space="preserve">NIFTY 24000 CE RSI test</t>
  </si>
  <si>
    <t xml:space="preserve">&lt; 0.5% vs TV</t>
  </si>
  <si>
    <t xml:space="preserve">1.16.3</t>
  </si>
  <si>
    <t xml:space="preserve">Document all components</t>
  </si>
  <si>
    <t xml:space="preserve">Docs</t>
  </si>
  <si>
    <t xml:space="preserve">1.16.4</t>
  </si>
  <si>
    <t xml:space="preserve">Phase 1 review &amp; sign-off</t>
  </si>
  <si>
    <t xml:space="preserve">Milestone</t>
  </si>
  <si>
    <t xml:space="preserve">PHASE 2: SCREENER ENGINE &amp; UI (Weeks 5-8)</t>
  </si>
  <si>
    <t xml:space="preserve">2.1.1</t>
  </si>
  <si>
    <t xml:space="preserve">Create screener/scanner.py</t>
  </si>
  <si>
    <t xml:space="preserve">Scanner</t>
  </si>
  <si>
    <t xml:space="preserve">2.1.2</t>
  </si>
  <si>
    <t xml:space="preserve">Implement Scanner class</t>
  </si>
  <si>
    <t xml:space="preserve">2.1.3</t>
  </si>
  <si>
    <t xml:space="preserve">Define filter conditions</t>
  </si>
  <si>
    <t xml:space="preserve">2.1.4</t>
  </si>
  <si>
    <t xml:space="preserve">Implement RSI &gt; threshold</t>
  </si>
  <si>
    <t xml:space="preserve">2.1.5</t>
  </si>
  <si>
    <t xml:space="preserve">Implement RSI &lt; threshold</t>
  </si>
  <si>
    <t xml:space="preserve">2.1.6</t>
  </si>
  <si>
    <t xml:space="preserve">Implement RSI crosses above</t>
  </si>
  <si>
    <t xml:space="preserve">2.1.7</t>
  </si>
  <si>
    <t xml:space="preserve">Implement RSI crosses below</t>
  </si>
  <si>
    <t xml:space="preserve">2.1.8</t>
  </si>
  <si>
    <t xml:space="preserve">Implement MACD conditions</t>
  </si>
  <si>
    <t xml:space="preserve">2.1.9</t>
  </si>
  <si>
    <t xml:space="preserve">Implement EMA conditions</t>
  </si>
  <si>
    <t xml:space="preserve">2.1.10</t>
  </si>
  <si>
    <t xml:space="preserve">Test: Single condition scan</t>
  </si>
  <si>
    <t xml:space="preserve">2.2.1</t>
  </si>
  <si>
    <t xml:space="preserve">Implement multi-condition AND</t>
  </si>
  <si>
    <t xml:space="preserve">Logic</t>
  </si>
  <si>
    <t xml:space="preserve">2.2.2</t>
  </si>
  <si>
    <t xml:space="preserve">Implement multi-condition OR</t>
  </si>
  <si>
    <t xml:space="preserve">2.2.3</t>
  </si>
  <si>
    <t xml:space="preserve">Implement condition groups</t>
  </si>
  <si>
    <t xml:space="preserve">2.2.4</t>
  </si>
  <si>
    <t xml:space="preserve">Test: Complex scan</t>
  </si>
  <si>
    <t xml:space="preserve">2.3.1</t>
  </si>
  <si>
    <t xml:space="preserve">Create screener/signals.py</t>
  </si>
  <si>
    <t xml:space="preserve">Signals</t>
  </si>
  <si>
    <t xml:space="preserve">2.3.2</t>
  </si>
  <si>
    <t xml:space="preserve">Implement SignalDetector</t>
  </si>
  <si>
    <t xml:space="preserve">2.3.3</t>
  </si>
  <si>
    <t xml:space="preserve">Detect crossovers</t>
  </si>
  <si>
    <t xml:space="preserve">2.3.4</t>
  </si>
  <si>
    <t xml:space="preserve">Store historical values</t>
  </si>
  <si>
    <t xml:space="preserve">2.3.5</t>
  </si>
  <si>
    <t xml:space="preserve">Emit signal events</t>
  </si>
  <si>
    <t xml:space="preserve">2.3.6</t>
  </si>
  <si>
    <t xml:space="preserve">Save signals to DB</t>
  </si>
  <si>
    <t xml:space="preserve">2.4.1</t>
  </si>
  <si>
    <t xml:space="preserve">Create api/main.py</t>
  </si>
  <si>
    <t xml:space="preserve">API</t>
  </si>
  <si>
    <t xml:space="preserve">2.4.2</t>
  </si>
  <si>
    <t xml:space="preserve">Set up FastAPI app</t>
  </si>
  <si>
    <t xml:space="preserve">2.4.3</t>
  </si>
  <si>
    <t xml:space="preserve">Add CORS middleware</t>
  </si>
  <si>
    <t xml:space="preserve">2.4.4</t>
  </si>
  <si>
    <t xml:space="preserve">Create health endpoint</t>
  </si>
  <si>
    <t xml:space="preserve">2.4.5</t>
  </si>
  <si>
    <t xml:space="preserve">Create instruments endpoint</t>
  </si>
  <si>
    <t xml:space="preserve">2.4.6</t>
  </si>
  <si>
    <t xml:space="preserve">Create screeners CRUD</t>
  </si>
  <si>
    <t xml:space="preserve">2.4.7</t>
  </si>
  <si>
    <t xml:space="preserve">Create scan endpoint</t>
  </si>
  <si>
    <t xml:space="preserve">2.4.8</t>
  </si>
  <si>
    <t xml:space="preserve">Create results endpoint</t>
  </si>
  <si>
    <t xml:space="preserve">2.4.9</t>
  </si>
  <si>
    <t xml:space="preserve">Add request validation</t>
  </si>
  <si>
    <t xml:space="preserve">2.4.10</t>
  </si>
  <si>
    <t xml:space="preserve">Test all endpoints</t>
  </si>
  <si>
    <t xml:space="preserve">2.5.1</t>
  </si>
  <si>
    <t xml:space="preserve">Create frontend/web project</t>
  </si>
  <si>
    <t xml:space="preserve">Frontend</t>
  </si>
  <si>
    <t xml:space="preserve">npm create vite</t>
  </si>
  <si>
    <t xml:space="preserve">2.5.2</t>
  </si>
  <si>
    <t xml:space="preserve">Install Tailwind CSS</t>
  </si>
  <si>
    <t xml:space="preserve">2.5.3</t>
  </si>
  <si>
    <t xml:space="preserve">Install shadcn/ui</t>
  </si>
  <si>
    <t xml:space="preserve">2.5.4</t>
  </si>
  <si>
    <t xml:space="preserve">Create layout component</t>
  </si>
  <si>
    <t xml:space="preserve">2.5.5</t>
  </si>
  <si>
    <t xml:space="preserve">Create navigation</t>
  </si>
  <si>
    <t xml:space="preserve">2.5.6</t>
  </si>
  <si>
    <t xml:space="preserve">Create screener builder UI</t>
  </si>
  <si>
    <t xml:space="preserve">2.5.7</t>
  </si>
  <si>
    <t xml:space="preserve">Underlying selector</t>
  </si>
  <si>
    <t xml:space="preserve">2.5.8</t>
  </si>
  <si>
    <t xml:space="preserve">Indicator selector</t>
  </si>
  <si>
    <t xml:space="preserve">2.5.9</t>
  </si>
  <si>
    <t xml:space="preserve">Condition builder</t>
  </si>
  <si>
    <t xml:space="preserve">2.5.10</t>
  </si>
  <si>
    <t xml:space="preserve">Timeframe selector</t>
  </si>
  <si>
    <t xml:space="preserve">2.6.1</t>
  </si>
  <si>
    <t xml:space="preserve">Create results table</t>
  </si>
  <si>
    <t xml:space="preserve">Results</t>
  </si>
  <si>
    <t xml:space="preserve">2.6.2</t>
  </si>
  <si>
    <t xml:space="preserve">Add sorting</t>
  </si>
  <si>
    <t xml:space="preserve">2.6.3</t>
  </si>
  <si>
    <t xml:space="preserve">Add filtering</t>
  </si>
  <si>
    <t xml:space="preserve">2.6.4</t>
  </si>
  <si>
    <t xml:space="preserve">Add pagination</t>
  </si>
  <si>
    <t xml:space="preserve">2.6.5</t>
  </si>
  <si>
    <t xml:space="preserve">Real-time updates</t>
  </si>
  <si>
    <t xml:space="preserve">2.7.1</t>
  </si>
  <si>
    <t xml:space="preserve">Install TradingView charts</t>
  </si>
  <si>
    <t xml:space="preserve">Charts</t>
  </si>
  <si>
    <t xml:space="preserve">2.7.2</t>
  </si>
  <si>
    <t xml:space="preserve">Create chart component</t>
  </si>
  <si>
    <t xml:space="preserve">2.7.3</t>
  </si>
  <si>
    <t xml:space="preserve">Display strike candles</t>
  </si>
  <si>
    <t xml:space="preserve">2.7.4</t>
  </si>
  <si>
    <t xml:space="preserve">Overlay indicators</t>
  </si>
  <si>
    <t xml:space="preserve">2.7.5</t>
  </si>
  <si>
    <t xml:space="preserve">Click row → chart popup</t>
  </si>
  <si>
    <t xml:space="preserve">2.8.1</t>
  </si>
  <si>
    <t xml:space="preserve">Connect frontend to API</t>
  </si>
  <si>
    <t xml:space="preserve">2.8.2</t>
  </si>
  <si>
    <t xml:space="preserve">Test full workflow</t>
  </si>
  <si>
    <t xml:space="preserve">2.8.3</t>
  </si>
  <si>
    <t xml:space="preserve">Performance testing</t>
  </si>
  <si>
    <t xml:space="preserve">2.8.4</t>
  </si>
  <si>
    <t xml:space="preserve">Phase 2 review &amp; sign-off</t>
  </si>
  <si>
    <t xml:space="preserve">PHASE 5: AI AGENTS (Weeks 17-22)</t>
  </si>
  <si>
    <t xml:space="preserve">5.1.1</t>
  </si>
  <si>
    <t xml:space="preserve">Create agents/orchestrator/agent.py</t>
  </si>
  <si>
    <t xml:space="preserve">Orchestrator</t>
  </si>
  <si>
    <t xml:space="preserve">5.1.2</t>
  </si>
  <si>
    <t xml:space="preserve">Implement OrchestratorAgent</t>
  </si>
  <si>
    <t xml:space="preserve">5.1.3</t>
  </si>
  <si>
    <t xml:space="preserve">Define workflow registry</t>
  </si>
  <si>
    <t xml:space="preserve">5.1.4</t>
  </si>
  <si>
    <t xml:space="preserve">Implement SCAN workflow</t>
  </si>
  <si>
    <t xml:space="preserve">5.1.5</t>
  </si>
  <si>
    <t xml:space="preserve">Implement BACKTEST workflow</t>
  </si>
  <si>
    <t xml:space="preserve">5.1.6</t>
  </si>
  <si>
    <t xml:space="preserve">Implement ANALYZE workflow</t>
  </si>
  <si>
    <t xml:space="preserve">5.1.7</t>
  </si>
  <si>
    <t xml:space="preserve">Parallel agent execution</t>
  </si>
  <si>
    <t xml:space="preserve">5.1.8</t>
  </si>
  <si>
    <t xml:space="preserve">Error handling</t>
  </si>
  <si>
    <t xml:space="preserve">5.1.9</t>
  </si>
  <si>
    <t xml:space="preserve">Job status tracking</t>
  </si>
  <si>
    <t xml:space="preserve">5.1.10</t>
  </si>
  <si>
    <t xml:space="preserve">Test: Basic workflow</t>
  </si>
  <si>
    <t xml:space="preserve">5.2.1</t>
  </si>
  <si>
    <t xml:space="preserve">Create agents/tagger/agent.py</t>
  </si>
  <si>
    <t xml:space="preserve">Tagger</t>
  </si>
  <si>
    <t xml:space="preserve">5.2.2</t>
  </si>
  <si>
    <t xml:space="preserve">Implement StrikeTaggerAgent</t>
  </si>
  <si>
    <t xml:space="preserve">5.2.3</t>
  </si>
  <si>
    <t xml:space="preserve">Define output schema</t>
  </si>
  <si>
    <t xml:space="preserve">Pydantic</t>
  </si>
  <si>
    <t xml:space="preserve">5.2.4</t>
  </si>
  <si>
    <t xml:space="preserve">Calculate moneyness</t>
  </si>
  <si>
    <t xml:space="preserve">ITM/ATM/OTM</t>
  </si>
  <si>
    <t xml:space="preserve">5.2.5</t>
  </si>
  <si>
    <t xml:space="preserve">Calculate liquidity score</t>
  </si>
  <si>
    <t xml:space="preserve">5.2.6</t>
  </si>
  <si>
    <t xml:space="preserve">Update instruments DB</t>
  </si>
  <si>
    <t xml:space="preserve">5.2.7</t>
  </si>
  <si>
    <t xml:space="preserve">Test: Tag NIFTY strikes</t>
  </si>
  <si>
    <t xml:space="preserve">5.3.1</t>
  </si>
  <si>
    <t xml:space="preserve">Create agents/greeks/agent.py</t>
  </si>
  <si>
    <t xml:space="preserve">Greeks</t>
  </si>
  <si>
    <t xml:space="preserve">5.3.2</t>
  </si>
  <si>
    <t xml:space="preserve">Implement GreeksAgent</t>
  </si>
  <si>
    <t xml:space="preserve">5.3.3</t>
  </si>
  <si>
    <t xml:space="preserve">Implement IV calculation</t>
  </si>
  <si>
    <t xml:space="preserve">Black-Scholes</t>
  </si>
  <si>
    <t xml:space="preserve">5.3.4</t>
  </si>
  <si>
    <t xml:space="preserve">Implement Delta</t>
  </si>
  <si>
    <t xml:space="preserve">5.3.5</t>
  </si>
  <si>
    <t xml:space="preserve">Implement Gamma</t>
  </si>
  <si>
    <t xml:space="preserve">5.3.6</t>
  </si>
  <si>
    <t xml:space="preserve">Implement Theta</t>
  </si>
  <si>
    <t xml:space="preserve">5.3.7</t>
  </si>
  <si>
    <t xml:space="preserve">Implement Vega</t>
  </si>
  <si>
    <t xml:space="preserve">5.3.8</t>
  </si>
  <si>
    <t xml:space="preserve">Store in IndicatorValue</t>
  </si>
  <si>
    <t xml:space="preserve">5.3.9</t>
  </si>
  <si>
    <t xml:space="preserve">Test: Validate Greeks</t>
  </si>
  <si>
    <t xml:space="preserve">vs NSE</t>
  </si>
  <si>
    <t xml:space="preserve">5.4.1</t>
  </si>
  <si>
    <t xml:space="preserve">Create agents/scanner/agent.py</t>
  </si>
  <si>
    <t xml:space="preserve">5.4.2</t>
  </si>
  <si>
    <t xml:space="preserve">Implement SignalScannerAgent</t>
  </si>
  <si>
    <t xml:space="preserve">5.4.3</t>
  </si>
  <si>
    <t xml:space="preserve">Batch processing</t>
  </si>
  <si>
    <t xml:space="preserve">48k+ strikes</t>
  </si>
  <si>
    <t xml:space="preserve">5.4.4</t>
  </si>
  <si>
    <t xml:space="preserve">Parallel indicator calc</t>
  </si>
  <si>
    <t xml:space="preserve">5.4.5</t>
  </si>
  <si>
    <t xml:space="preserve">Filter by conditions</t>
  </si>
  <si>
    <t xml:space="preserve">5.4.6</t>
  </si>
  <si>
    <t xml:space="preserve">Return matched strikes</t>
  </si>
  <si>
    <t xml:space="preserve">5.4.7</t>
  </si>
  <si>
    <t xml:space="preserve">Test: Scan all NIFTY</t>
  </si>
  <si>
    <t xml:space="preserve">5.5.1</t>
  </si>
  <si>
    <t xml:space="preserve">Create agents/researcher/agent.py</t>
  </si>
  <si>
    <t xml:space="preserve">Researcher</t>
  </si>
  <si>
    <t xml:space="preserve">5.5.2</t>
  </si>
  <si>
    <t xml:space="preserve">Implement ResearcherAgent</t>
  </si>
  <si>
    <t xml:space="preserve">5.5.3</t>
  </si>
  <si>
    <t xml:space="preserve">Web scraping tools</t>
  </si>
  <si>
    <t xml:space="preserve">5.5.4</t>
  </si>
  <si>
    <t xml:space="preserve">News API integration</t>
  </si>
  <si>
    <t xml:space="preserve">5.5.5</t>
  </si>
  <si>
    <t xml:space="preserve">FII/DII data fetch</t>
  </si>
  <si>
    <t xml:space="preserve">5.5.6</t>
  </si>
  <si>
    <t xml:space="preserve">Unusual OI detection</t>
  </si>
  <si>
    <t xml:space="preserve">5.5.7</t>
  </si>
  <si>
    <t xml:space="preserve">Store in ChromaDB</t>
  </si>
  <si>
    <t xml:space="preserve">5.5.8</t>
  </si>
  <si>
    <t xml:space="preserve">Schedule every 2 hours</t>
  </si>
  <si>
    <t xml:space="preserve">5.6.1</t>
  </si>
  <si>
    <t xml:space="preserve">Create agents/sentiment/agent.py</t>
  </si>
  <si>
    <t xml:space="preserve">Sentiment</t>
  </si>
  <si>
    <t xml:space="preserve">5.6.2</t>
  </si>
  <si>
    <t xml:space="preserve">Implement SentimentAgent</t>
  </si>
  <si>
    <t xml:space="preserve">5.6.3</t>
  </si>
  <si>
    <t xml:space="preserve">MoneyControl scraper</t>
  </si>
  <si>
    <t xml:space="preserve">5.6.4</t>
  </si>
  <si>
    <t xml:space="preserve">Sentiment classification</t>
  </si>
  <si>
    <t xml:space="preserve">5.6.5</t>
  </si>
  <si>
    <t xml:space="preserve">Score aggregation</t>
  </si>
  <si>
    <t xml:space="preserve">5.6.6</t>
  </si>
  <si>
    <t xml:space="preserve">Schedule every 30 min</t>
  </si>
  <si>
    <t xml:space="preserve">5.7.1</t>
  </si>
  <si>
    <t xml:space="preserve">Create agents/reporter/agent.py</t>
  </si>
  <si>
    <t xml:space="preserve">Reporter</t>
  </si>
  <si>
    <t xml:space="preserve">5.7.2</t>
  </si>
  <si>
    <t xml:space="preserve">Implement ReporterAgent</t>
  </si>
  <si>
    <t xml:space="preserve">5.7.3</t>
  </si>
  <si>
    <t xml:space="preserve">Define report template</t>
  </si>
  <si>
    <t xml:space="preserve">Markdown</t>
  </si>
  <si>
    <t xml:space="preserve">5.7.4</t>
  </si>
  <si>
    <t xml:space="preserve">Compile agent outputs</t>
  </si>
  <si>
    <t xml:space="preserve">5.7.5</t>
  </si>
  <si>
    <t xml:space="preserve">Generate summary</t>
  </si>
  <si>
    <t xml:space="preserve">5.7.6</t>
  </si>
  <si>
    <t xml:space="preserve">Save to job record</t>
  </si>
  <si>
    <t xml:space="preserve">5.8.1</t>
  </si>
  <si>
    <t xml:space="preserve">Create agents/backtester/agent.py</t>
  </si>
  <si>
    <t xml:space="preserve">Backtester</t>
  </si>
  <si>
    <t xml:space="preserve">5.8.2</t>
  </si>
  <si>
    <t xml:space="preserve">Implement BacktesterAgent</t>
  </si>
  <si>
    <t xml:space="preserve">5.8.3</t>
  </si>
  <si>
    <t xml:space="preserve">Historical data loader</t>
  </si>
  <si>
    <t xml:space="preserve">5.8.4</t>
  </si>
  <si>
    <t xml:space="preserve">Entry/exit logic</t>
  </si>
  <si>
    <t xml:space="preserve">5.8.5</t>
  </si>
  <si>
    <t xml:space="preserve">P&amp;L calculation</t>
  </si>
  <si>
    <t xml:space="preserve">5.8.6</t>
  </si>
  <si>
    <t xml:space="preserve">Sharpe ratio</t>
  </si>
  <si>
    <t xml:space="preserve">5.8.7</t>
  </si>
  <si>
    <t xml:space="preserve">Max drawdown</t>
  </si>
  <si>
    <t xml:space="preserve">5.8.8</t>
  </si>
  <si>
    <t xml:space="preserve">Win rate</t>
  </si>
  <si>
    <t xml:space="preserve">5.8.9</t>
  </si>
  <si>
    <t xml:space="preserve">Generate report</t>
  </si>
  <si>
    <t xml:space="preserve">5.9.1</t>
  </si>
  <si>
    <t xml:space="preserve">Create agents/optimizer/agent.py</t>
  </si>
  <si>
    <t xml:space="preserve">Optimizer</t>
  </si>
  <si>
    <t xml:space="preserve">5.9.2</t>
  </si>
  <si>
    <t xml:space="preserve">Implement OptimizerAgent</t>
  </si>
  <si>
    <t xml:space="preserve">5.9.3</t>
  </si>
  <si>
    <t xml:space="preserve">Grid search</t>
  </si>
  <si>
    <t xml:space="preserve">5.9.4</t>
  </si>
  <si>
    <t xml:space="preserve">Walk-forward analysis</t>
  </si>
  <si>
    <t xml:space="preserve">5.9.5</t>
  </si>
  <si>
    <t xml:space="preserve">Best params selection</t>
  </si>
  <si>
    <t xml:space="preserve">5.10.1</t>
  </si>
  <si>
    <t xml:space="preserve">Create agents/analyzer/agent.py</t>
  </si>
  <si>
    <t xml:space="preserve">Analyzer</t>
  </si>
  <si>
    <t xml:space="preserve">5.10.2</t>
  </si>
  <si>
    <t xml:space="preserve">Implement OptionsAnalyzer</t>
  </si>
  <si>
    <t xml:space="preserve">5.10.3</t>
  </si>
  <si>
    <t xml:space="preserve">Strike selection logic</t>
  </si>
  <si>
    <t xml:space="preserve">5.10.4</t>
  </si>
  <si>
    <t xml:space="preserve">Payoff diagram calc</t>
  </si>
  <si>
    <t xml:space="preserve">5.10.5</t>
  </si>
  <si>
    <t xml:space="preserve">Risk/reward analysis</t>
  </si>
  <si>
    <t xml:space="preserve">5.11.1</t>
  </si>
  <si>
    <t xml:space="preserve">Create agents/risk/agent.py</t>
  </si>
  <si>
    <t xml:space="preserve">Risk</t>
  </si>
  <si>
    <t xml:space="preserve">5.11.2</t>
  </si>
  <si>
    <t xml:space="preserve">Implement RiskAgent</t>
  </si>
  <si>
    <t xml:space="preserve">5.11.3</t>
  </si>
  <si>
    <t xml:space="preserve">Portfolio Greeks sum</t>
  </si>
  <si>
    <t xml:space="preserve">5.11.4</t>
  </si>
  <si>
    <t xml:space="preserve">VaR calculation</t>
  </si>
  <si>
    <t xml:space="preserve">5.11.5</t>
  </si>
  <si>
    <t xml:space="preserve">Hedging suggestions</t>
  </si>
  <si>
    <t xml:space="preserve">5.12.1</t>
  </si>
  <si>
    <t xml:space="preserve">Integration test: SCAN</t>
  </si>
  <si>
    <t xml:space="preserve">5.12.2</t>
  </si>
  <si>
    <t xml:space="preserve">Integration test: BACKTEST</t>
  </si>
  <si>
    <t xml:space="preserve">5.12.3</t>
  </si>
  <si>
    <t xml:space="preserve">Integration test: ANALYZE</t>
  </si>
  <si>
    <t xml:space="preserve">5.12.4</t>
  </si>
  <si>
    <t xml:space="preserve">Performance benchmarks</t>
  </si>
  <si>
    <t xml:space="preserve">5.12.5</t>
  </si>
  <si>
    <t xml:space="preserve">Phase 5 review &amp; sign-off</t>
  </si>
  <si>
    <t xml:space="preserve">RISK REGISTER</t>
  </si>
  <si>
    <t xml:space="preserve">Risk ID</t>
  </si>
  <si>
    <t xml:space="preserve">Risk Description</t>
  </si>
  <si>
    <t xml:space="preserve">Probability</t>
  </si>
  <si>
    <t xml:space="preserve">Impact</t>
  </si>
  <si>
    <t xml:space="preserve">Risk Score</t>
  </si>
  <si>
    <t xml:space="preserve">Mitigation Strategy</t>
  </si>
  <si>
    <t xml:space="preserve">Owner</t>
  </si>
  <si>
    <t xml:space="preserve">Last Updated</t>
  </si>
  <si>
    <t xml:space="preserve">R001</t>
  </si>
  <si>
    <t xml:space="preserve">Angel One API rate limits exceeded</t>
  </si>
  <si>
    <t xml:space="preserve">Technical</t>
  </si>
  <si>
    <t xml:space="preserve">Medium</t>
  </si>
  <si>
    <t xml:space="preserve">High</t>
  </si>
  <si>
    <t xml:space="preserve">Implement caching, request throttling</t>
  </si>
  <si>
    <t xml:space="preserve">Open</t>
  </si>
  <si>
    <t xml:space="preserve">R002</t>
  </si>
  <si>
    <t xml:space="preserve">Angel One API changes without notice</t>
  </si>
  <si>
    <t xml:space="preserve">External</t>
  </si>
  <si>
    <t xml:space="preserve">Low</t>
  </si>
  <si>
    <t xml:space="preserve">Version lock API client, monitor changelogs</t>
  </si>
  <si>
    <t xml:space="preserve">R003</t>
  </si>
  <si>
    <t xml:space="preserve">Ollama model performance insufficient</t>
  </si>
  <si>
    <t xml:space="preserve">Test multiple models, have Bedrock fallback</t>
  </si>
  <si>
    <t xml:space="preserve">R004</t>
  </si>
  <si>
    <t xml:space="preserve">Data quality issues from Angel One</t>
  </si>
  <si>
    <t xml:space="preserve">Data</t>
  </si>
  <si>
    <t xml:space="preserve">Validation layer, compare with NSE data</t>
  </si>
  <si>
    <t xml:space="preserve">R005</t>
  </si>
  <si>
    <t xml:space="preserve">Indicator calculations differ from TradingView</t>
  </si>
  <si>
    <t xml:space="preserve">Extensive validation, document methodology</t>
  </si>
  <si>
    <t xml:space="preserve">R006</t>
  </si>
  <si>
    <t xml:space="preserve">Scope creep / feature bloat</t>
  </si>
  <si>
    <t xml:space="preserve">Strict phase gates, MVP focus</t>
  </si>
  <si>
    <t xml:space="preserve">R007</t>
  </si>
  <si>
    <t xml:space="preserve">Single developer bandwidth</t>
  </si>
  <si>
    <t xml:space="preserve">Resource</t>
  </si>
  <si>
    <t xml:space="preserve">Prioritize ruthlessly, use AI assistance</t>
  </si>
  <si>
    <t xml:space="preserve">R008</t>
  </si>
  <si>
    <t xml:space="preserve">Production AWS costs exceed budget</t>
  </si>
  <si>
    <t xml:space="preserve">Financial</t>
  </si>
  <si>
    <t xml:space="preserve">Cost alerts, serverless architecture</t>
  </si>
  <si>
    <t xml:space="preserve">R009</t>
  </si>
  <si>
    <t xml:space="preserve">WebSocket connection instability</t>
  </si>
  <si>
    <t xml:space="preserve">Reconnection logic, heartbeat monitoring</t>
  </si>
  <si>
    <t xml:space="preserve">R010</t>
  </si>
  <si>
    <t xml:space="preserve">Market data gaps during high volatility</t>
  </si>
  <si>
    <t xml:space="preserve">Gap detection, data reconciliation</t>
  </si>
  <si>
    <t xml:space="preserve">WEEKLY STANDUP LOG</t>
  </si>
  <si>
    <t xml:space="preserve">Week #</t>
  </si>
  <si>
    <t xml:space="preserve">Date</t>
  </si>
  <si>
    <t xml:space="preserve">Completed This Week</t>
  </si>
  <si>
    <t xml:space="preserve">Next Week Goals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</si>
  <si>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</si>
  <si>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</si>
  <si>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</si>
  <si>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</si>
  <si>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</si>
  <si>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</si>
  <si>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</si>
  <si>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</si>
  <si>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</si>
  <si>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</si>
  <si>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</si>
  <si>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</si>
  <si>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</si>
  <si>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</si>
  <si>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</si>
  <si>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Week 16</t>
  </si>
  <si>
    <t xml:space="preserve">Week 17</t>
  </si>
  <si>
    <t xml:space="preserve">Week 18</t>
  </si>
  <si>
    <t xml:space="preserve">Week 19</t>
  </si>
  <si>
    <t xml:space="preserve">Week 20</t>
  </si>
  <si>
    <t xml:space="preserve">Week 21</t>
  </si>
  <si>
    <t xml:space="preserve">Week 22</t>
  </si>
  <si>
    <t xml:space="preserve">Week 23</t>
  </si>
  <si>
    <t xml:space="preserve">Week 24</t>
  </si>
  <si>
    <t xml:space="preserve">Week 25</t>
  </si>
  <si>
    <t xml:space="preserve">Week 26</t>
  </si>
  <si>
    <t xml:space="preserve">Week 27</t>
  </si>
  <si>
    <t xml:space="preserve">Week 28</t>
  </si>
  <si>
    <t xml:space="preserve">Week 29</t>
  </si>
  <si>
    <t xml:space="preserve">Week 30</t>
  </si>
  <si>
    <t xml:space="preserve">ARCHITECTURAL DECISIONS LOG</t>
  </si>
  <si>
    <t xml:space="preserve">Decision</t>
  </si>
  <si>
    <t xml:space="preserve">Context</t>
  </si>
  <si>
    <t xml:space="preserve">Options Considered</t>
  </si>
  <si>
    <t xml:space="preserve">Rationale</t>
  </si>
  <si>
    <t xml:space="preserve">ADR001</t>
  </si>
  <si>
    <t xml:space="preserve">Use SQLite for local development</t>
  </si>
  <si>
    <t xml:space="preserve">Need simple database without Docker</t>
  </si>
  <si>
    <t xml:space="preserve">SQLite, PostgreSQL local, DuckDB</t>
  </si>
  <si>
    <t xml:space="preserve">Zero config, Python built-in, good enough for dev</t>
  </si>
  <si>
    <t xml:space="preserve">Approved</t>
  </si>
  <si>
    <t xml:space="preserve">ADR002</t>
  </si>
  <si>
    <t xml:space="preserve">Use Ollama for local LLM</t>
  </si>
  <si>
    <t xml:space="preserve">Need free local AI without API costs</t>
  </si>
  <si>
    <t xml:space="preserve">Ollama, LM Studio, llama.cpp</t>
  </si>
  <si>
    <t xml:space="preserve">Best UX, easy model management, good performance</t>
  </si>
  <si>
    <t xml:space="preserve">ADR003</t>
  </si>
  <si>
    <t xml:space="preserve">Use file-based cache instead of Redis</t>
  </si>
  <si>
    <t xml:space="preserve">Cannot run Docker/Redis locally</t>
  </si>
  <si>
    <t xml:space="preserve">File cache, SQLite cache, in-memory</t>
  </si>
  <si>
    <t xml:space="preserve">Simple, persistent, easy to migrate to Redis</t>
  </si>
  <si>
    <t xml:space="preserve">ADR004</t>
  </si>
  <si>
    <t xml:space="preserve">Use ChromaDB for local vectors</t>
  </si>
  <si>
    <t xml:space="preserve">Need vector DB without cloud dependency</t>
  </si>
  <si>
    <t xml:space="preserve">ChromaDB, Qdrant, FAISS</t>
  </si>
  <si>
    <t xml:space="preserve">Embedded, persistent, good Python integration</t>
  </si>
  <si>
    <t xml:space="preserve">ADR005</t>
  </si>
  <si>
    <t xml:space="preserve">Use Angel One SmartAPI</t>
  </si>
  <si>
    <t xml:space="preserve">Need Indian market options data</t>
  </si>
  <si>
    <t xml:space="preserve">Angel One, Zerodha Kite, Upstox</t>
  </si>
  <si>
    <t xml:space="preserve">Free historical data, user already has account</t>
  </si>
  <si>
    <t xml:space="preserve">TESTING MATRIX</t>
  </si>
  <si>
    <t xml:space="preserve">Component</t>
  </si>
  <si>
    <t xml:space="preserve">Unit Tests</t>
  </si>
  <si>
    <t xml:space="preserve">Integration Tests</t>
  </si>
  <si>
    <t xml:space="preserve">Manual Tests</t>
  </si>
  <si>
    <t xml:space="preserve">Coverage %</t>
  </si>
  <si>
    <t xml:space="preserve">Last Run</t>
  </si>
  <si>
    <t xml:space="preserve">Database Models</t>
  </si>
  <si>
    <t xml:space="preserve">0%</t>
  </si>
  <si>
    <t xml:space="preserve">⬜ Not Started</t>
  </si>
  <si>
    <t xml:space="preserve">File Cache</t>
  </si>
  <si>
    <t xml:space="preserve">Angel One Auth</t>
  </si>
  <si>
    <t xml:space="preserve">Candle Fetcher</t>
  </si>
  <si>
    <t xml:space="preserve">WebSocket Client</t>
  </si>
  <si>
    <t xml:space="preserve">Candle Builder</t>
  </si>
  <si>
    <t xml:space="preserve">RSI Indicator</t>
  </si>
  <si>
    <t xml:space="preserve">Must validate vs TV</t>
  </si>
  <si>
    <t xml:space="preserve">MACD Indicator</t>
  </si>
  <si>
    <t xml:space="preserve">Scanner Engine</t>
  </si>
  <si>
    <t xml:space="preserve">Signal Detector</t>
  </si>
  <si>
    <t xml:space="preserve">FastAPI Endpoints</t>
  </si>
  <si>
    <t xml:space="preserve">Orchestrator Agent</t>
  </si>
  <si>
    <t xml:space="preserve">Tagger Agent</t>
  </si>
  <si>
    <t xml:space="preserve">Greeks Agent</t>
  </si>
  <si>
    <t xml:space="preserve">Scanner Agent</t>
  </si>
  <si>
    <t xml:space="preserve">Researcher Agent</t>
  </si>
  <si>
    <t xml:space="preserve">Backtester Agent</t>
  </si>
  <si>
    <t xml:space="preserve">PRODUCTION READINESS CHECKLIST</t>
  </si>
  <si>
    <t xml:space="preserve">Item</t>
  </si>
  <si>
    <t xml:space="preserve">Verified By</t>
  </si>
  <si>
    <t xml:space="preserve">Security</t>
  </si>
  <si>
    <t xml:space="preserve">API keys in Secrets Manager</t>
  </si>
  <si>
    <t xml:space="preserve">HTTPS enabled</t>
  </si>
  <si>
    <t xml:space="preserve">CORS configured</t>
  </si>
  <si>
    <t xml:space="preserve">Input validation</t>
  </si>
  <si>
    <t xml:space="preserve">Rate limiting</t>
  </si>
  <si>
    <t xml:space="preserve">JWT auth implemented</t>
  </si>
  <si>
    <t xml:space="preserve">Performance</t>
  </si>
  <si>
    <t xml:space="preserve">Database indexes optimized</t>
  </si>
  <si>
    <t xml:space="preserve">Cache strategy implemented</t>
  </si>
  <si>
    <t xml:space="preserve">CDN configured</t>
  </si>
  <si>
    <t xml:space="preserve">Load testing passed</t>
  </si>
  <si>
    <t xml:space="preserve">Monitoring</t>
  </si>
  <si>
    <t xml:space="preserve">CloudWatch alarms set</t>
  </si>
  <si>
    <t xml:space="preserve">Error tracking configured</t>
  </si>
  <si>
    <t xml:space="preserve">Health checks enabled</t>
  </si>
  <si>
    <t xml:space="preserve">Log retention configured</t>
  </si>
  <si>
    <t xml:space="preserve">Reliability</t>
  </si>
  <si>
    <t xml:space="preserve">Auto-scaling configured</t>
  </si>
  <si>
    <t xml:space="preserve">Dead letter queues set</t>
  </si>
  <si>
    <t xml:space="preserve">Retry logic implemented</t>
  </si>
  <si>
    <t xml:space="preserve">Graceful degradation</t>
  </si>
  <si>
    <t xml:space="preserve">Backup strategy defined</t>
  </si>
  <si>
    <t xml:space="preserve">Data retention policy</t>
  </si>
  <si>
    <t xml:space="preserve">GDPR compliance checked</t>
  </si>
  <si>
    <t xml:space="preserve">Documentation</t>
  </si>
  <si>
    <t xml:space="preserve">API documentation complete</t>
  </si>
  <si>
    <t xml:space="preserve">Runbook created</t>
  </si>
  <si>
    <t xml:space="preserve">Architecture diagram updated</t>
  </si>
  <si>
    <t xml:space="preserve">Testing</t>
  </si>
  <si>
    <t xml:space="preserve">All unit tests passing</t>
  </si>
  <si>
    <t xml:space="preserve">Integration tests passing</t>
  </si>
  <si>
    <t xml:space="preserve">UAT sign-off received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</si>
</sst>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mm/dd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4E79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0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6"/>
      <color rgb="FF3498DB"/>
      <name val="Cambria"/>
      <family val="0"/>
      <charset val="1"/>
    </font>
    <font>
      <b val="true"/>
      <sz val="16"/>
      <color rgb="FF2ECC71"/>
      <name val="Cambria"/>
      <family val="0"/>
      <charset val="1"/>
    </font>
    <font>
      <b val="true"/>
      <sz val="16"/>
      <color rgb="FFF39C12"/>
      <name val="Cambria"/>
      <family val="0"/>
      <charset val="1"/>
    </font>
    <font>
      <b val="true"/>
      <sz val="16"/>
      <color rgb="FFFF6B6B"/>
      <name val="Cambria"/>
      <family val="0"/>
      <charset val="1"/>
    </font>
    <font>
      <b val="true"/>
      <sz val="16"/>
      <color rgb="FF1ABC9C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6E3F8"/>
        <bgColor rgb="FFE0E0E0"/>
      </patternFill>
    </fill>
    <fill>
      <patternFill patternType="solid">
        <fgColor rgb="FFE0E0E0"/>
        <bgColor rgb="FFD6E3F8"/>
      </patternFill>
    </fill>
    <fill>
      <patternFill patternType="solid">
        <fgColor rgb="FFFFC000"/>
        <bgColor rgb="FFF39C12"/>
      </patternFill>
    </fill>
    <fill>
      <patternFill patternType="solid">
        <fgColor rgb="FF00B050"/>
        <bgColor rgb="FF1ABC9C"/>
      </patternFill>
    </fill>
    <fill>
      <patternFill patternType="solid">
        <fgColor rgb="FFFF6B6B"/>
        <bgColor rgb="FFFF6600"/>
      </patternFill>
    </fill>
    <fill>
      <patternFill patternType="solid">
        <fgColor rgb="FF9B59B6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B59B6"/>
      <rgbColor rgb="FF9999FF"/>
      <rgbColor rgb="FF993366"/>
      <rgbColor rgb="FFF5F5F5"/>
      <rgbColor rgb="FFCCFFFF"/>
      <rgbColor rgb="FF660066"/>
      <rgbColor rgb="FFFF6B6B"/>
      <rgbColor rgb="FF0066CC"/>
      <rgbColor rgb="FFD6E3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CCFFFF"/>
      <rgbColor rgb="FFE0E0E0"/>
      <rgbColor rgb="FFFFFF99"/>
      <rgbColor rgb="FF99CCFF"/>
      <rgbColor rgb="FFFF99CC"/>
      <rgbColor rgb="FFCC99FF"/>
      <rgbColor rgb="FFFFCC99"/>
      <rgbColor rgb="FF3498DB"/>
      <rgbColor rgb="FF1ABC9C"/>
      <rgbColor rgb="FF99CC00"/>
      <rgbColor rgb="FFFFC000"/>
      <rgbColor rgb="FFF39C12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8" min="5" style="1" width="12"/>
    <col collapsed="false" customWidth="true" hidden="false" outlineLevel="0" max="9" min="9" style="1" width="15"/>
  </cols>
  <sheetData>
    <row r="1" customFormat="false" ht="28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7.2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5" t="s">
        <v>5</v>
      </c>
      <c r="D5" s="6"/>
    </row>
    <row r="6" customFormat="false" ht="15" hidden="false" customHeight="true" outlineLevel="0" collapsed="false">
      <c r="A6" s="5" t="s">
        <v>6</v>
      </c>
      <c r="B6" s="6"/>
      <c r="C6" s="5" t="s">
        <v>7</v>
      </c>
      <c r="D6" s="6"/>
    </row>
    <row r="7" customFormat="false" ht="15" hidden="false" customHeight="true" outlineLevel="0" collapsed="false">
      <c r="A7" s="5" t="s">
        <v>8</v>
      </c>
      <c r="B7" s="6"/>
      <c r="C7" s="5" t="s">
        <v>9</v>
      </c>
      <c r="D7" s="6"/>
    </row>
    <row r="8" customFormat="false" ht="15" hidden="false" customHeight="true" outlineLevel="0" collapsed="false">
      <c r="A8" s="5" t="s">
        <v>10</v>
      </c>
      <c r="B8" s="6" t="s">
        <v>11</v>
      </c>
      <c r="C8" s="5" t="s">
        <v>12</v>
      </c>
      <c r="D8" s="6"/>
    </row>
    <row r="10" customFormat="false" ht="17.25" hidden="false" customHeight="true" outlineLevel="0" collapsed="false">
      <c r="A10" s="4" t="s">
        <v>13</v>
      </c>
    </row>
    <row r="11" customFormat="false" ht="26.25" hidden="false" customHeight="true" outlineLevel="0" collapsed="false">
      <c r="A11" s="7" t="s">
        <v>14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7" t="s">
        <v>22</v>
      </c>
    </row>
    <row r="12" customFormat="false" ht="15" hidden="false" customHeight="true" outlineLevel="0" collapsed="false">
      <c r="A12" s="8" t="s">
        <v>23</v>
      </c>
      <c r="B12" s="8" t="s">
        <v>24</v>
      </c>
      <c r="C12" s="9" t="s">
        <v>25</v>
      </c>
      <c r="D12" s="9" t="n">
        <v>25</v>
      </c>
      <c r="E12" s="9" t="n">
        <v>0</v>
      </c>
      <c r="F12" s="9" t="n">
        <v>0</v>
      </c>
      <c r="G12" s="9" t="n">
        <v>0</v>
      </c>
      <c r="H12" s="10" t="n">
        <f aca="false">IF(D12=0,0,E12/D12)</f>
        <v>0</v>
      </c>
      <c r="I12" s="9" t="str">
        <f aca="false">IF(G12&gt;0,"🔴 Blocked",IF(H12=1,"✅ Complete",IF(F12&gt;0,"🟡 In Progress","⬜ Not Started")))</f>
        <v>⬜ Not Started</v>
      </c>
    </row>
    <row r="13" customFormat="false" ht="15" hidden="false" customHeight="true" outlineLevel="0" collapsed="false">
      <c r="A13" s="8" t="s">
        <v>26</v>
      </c>
      <c r="B13" s="8" t="s">
        <v>27</v>
      </c>
      <c r="C13" s="9" t="s">
        <v>28</v>
      </c>
      <c r="D13" s="9" t="n">
        <v>85</v>
      </c>
      <c r="E13" s="9" t="n">
        <v>0</v>
      </c>
      <c r="F13" s="9" t="n">
        <v>0</v>
      </c>
      <c r="G13" s="9" t="n">
        <v>0</v>
      </c>
      <c r="H13" s="10" t="n">
        <f aca="false">IF(D13=0,0,E13/D13)</f>
        <v>0</v>
      </c>
      <c r="I13" s="9" t="str">
        <f aca="false">IF(G13&gt;0,"🔴 Blocked",IF(H13=1,"✅ Complete",IF(F13&gt;0,"🟡 In Progress","⬜ Not Started")))</f>
        <v>⬜ Not Started</v>
      </c>
    </row>
    <row r="14" customFormat="false" ht="15" hidden="false" customHeight="true" outlineLevel="0" collapsed="false">
      <c r="A14" s="8" t="s">
        <v>29</v>
      </c>
      <c r="B14" s="8" t="s">
        <v>30</v>
      </c>
      <c r="C14" s="9" t="s">
        <v>31</v>
      </c>
      <c r="D14" s="9" t="n">
        <v>72</v>
      </c>
      <c r="E14" s="9" t="n">
        <v>0</v>
      </c>
      <c r="F14" s="9" t="n">
        <v>0</v>
      </c>
      <c r="G14" s="9" t="n">
        <v>0</v>
      </c>
      <c r="H14" s="10" t="n">
        <f aca="false">IF(D14=0,0,E14/D14)</f>
        <v>0</v>
      </c>
      <c r="I14" s="9" t="str">
        <f aca="false">IF(G14&gt;0,"🔴 Blocked",IF(H14=1,"✅ Complete",IF(F14&gt;0,"🟡 In Progress","⬜ Not Started")))</f>
        <v>⬜ Not Started</v>
      </c>
    </row>
    <row r="15" customFormat="false" ht="15" hidden="false" customHeight="true" outlineLevel="0" collapsed="false">
      <c r="A15" s="8" t="s">
        <v>32</v>
      </c>
      <c r="B15" s="8" t="s">
        <v>33</v>
      </c>
      <c r="C15" s="9" t="s">
        <v>34</v>
      </c>
      <c r="D15" s="9" t="n">
        <v>68</v>
      </c>
      <c r="E15" s="9" t="n">
        <v>0</v>
      </c>
      <c r="F15" s="9" t="n">
        <v>0</v>
      </c>
      <c r="G15" s="9" t="n">
        <v>0</v>
      </c>
      <c r="H15" s="10" t="n">
        <f aca="false">IF(D15=0,0,E15/D15)</f>
        <v>0</v>
      </c>
      <c r="I15" s="9" t="str">
        <f aca="false">IF(G15&gt;0,"🔴 Blocked",IF(H15=1,"✅ Complete",IF(F15&gt;0,"🟡 In Progress","⬜ Not Started")))</f>
        <v>⬜ Not Started</v>
      </c>
    </row>
    <row r="16" customFormat="false" ht="15" hidden="false" customHeight="true" outlineLevel="0" collapsed="false">
      <c r="A16" s="8" t="s">
        <v>35</v>
      </c>
      <c r="B16" s="8" t="s">
        <v>36</v>
      </c>
      <c r="C16" s="9" t="s">
        <v>37</v>
      </c>
      <c r="D16" s="9" t="n">
        <v>58</v>
      </c>
      <c r="E16" s="9" t="n">
        <v>0</v>
      </c>
      <c r="F16" s="9" t="n">
        <v>0</v>
      </c>
      <c r="G16" s="9" t="n">
        <v>0</v>
      </c>
      <c r="H16" s="10" t="n">
        <f aca="false">IF(D16=0,0,E16/D16)</f>
        <v>0</v>
      </c>
      <c r="I16" s="9" t="str">
        <f aca="false">IF(G16&gt;0,"🔴 Blocked",IF(H16=1,"✅ Complete",IF(F16&gt;0,"🟡 In Progress","⬜ Not Started")))</f>
        <v>⬜ Not Started</v>
      </c>
    </row>
    <row r="17" customFormat="false" ht="15" hidden="false" customHeight="true" outlineLevel="0" collapsed="false">
      <c r="A17" s="8" t="s">
        <v>38</v>
      </c>
      <c r="B17" s="8" t="s">
        <v>39</v>
      </c>
      <c r="C17" s="9" t="s">
        <v>40</v>
      </c>
      <c r="D17" s="9" t="n">
        <v>95</v>
      </c>
      <c r="E17" s="9" t="n">
        <v>0</v>
      </c>
      <c r="F17" s="9" t="n">
        <v>0</v>
      </c>
      <c r="G17" s="9" t="n">
        <v>0</v>
      </c>
      <c r="H17" s="10" t="n">
        <f aca="false">IF(D17=0,0,E17/D17)</f>
        <v>0</v>
      </c>
      <c r="I17" s="9" t="str">
        <f aca="false">IF(G17&gt;0,"🔴 Blocked",IF(H17=1,"✅ Complete",IF(F17&gt;0,"🟡 In Progress","⬜ Not Started")))</f>
        <v>⬜ Not Started</v>
      </c>
    </row>
    <row r="18" customFormat="false" ht="15" hidden="false" customHeight="true" outlineLevel="0" collapsed="false">
      <c r="A18" s="8" t="s">
        <v>41</v>
      </c>
      <c r="B18" s="8" t="s">
        <v>42</v>
      </c>
      <c r="C18" s="9" t="s">
        <v>43</v>
      </c>
      <c r="D18" s="9" t="n">
        <v>82</v>
      </c>
      <c r="E18" s="9" t="n">
        <v>0</v>
      </c>
      <c r="F18" s="9" t="n">
        <v>0</v>
      </c>
      <c r="G18" s="9" t="n">
        <v>0</v>
      </c>
      <c r="H18" s="10" t="n">
        <f aca="false">IF(D18=0,0,E18/D18)</f>
        <v>0</v>
      </c>
      <c r="I18" s="9" t="str">
        <f aca="false">IF(G18&gt;0,"🔴 Blocked",IF(H18=1,"✅ Complete",IF(F18&gt;0,"🟡 In Progress","⬜ Not Started")))</f>
        <v>⬜ Not Started</v>
      </c>
    </row>
    <row r="19" customFormat="false" ht="15" hidden="false" customHeight="true" outlineLevel="0" collapsed="false">
      <c r="A19" s="11" t="s">
        <v>44</v>
      </c>
      <c r="B19" s="11"/>
      <c r="C19" s="11"/>
      <c r="D19" s="11" t="n">
        <f aca="false">SUM(D12:D18)</f>
        <v>485</v>
      </c>
      <c r="E19" s="11" t="n">
        <f aca="false">SUM(E12:E18)</f>
        <v>0</v>
      </c>
      <c r="F19" s="11" t="n">
        <f aca="false">SUM(F12:F18)</f>
        <v>0</v>
      </c>
      <c r="G19" s="11" t="n">
        <f aca="false">SUM(G12:G18)</f>
        <v>0</v>
      </c>
      <c r="H19" s="12" t="n">
        <f aca="false">IF(D19=0,0,E19/D19)</f>
        <v>0</v>
      </c>
      <c r="I19" s="11"/>
    </row>
    <row r="21" customFormat="false" ht="17.25" hidden="false" customHeight="true" outlineLevel="0" collapsed="false">
      <c r="A21" s="4" t="s">
        <v>45</v>
      </c>
    </row>
    <row r="22" customFormat="false" ht="15" hidden="false" customHeight="true" outlineLevel="0" collapsed="false">
      <c r="A22" s="13" t="s">
        <v>17</v>
      </c>
      <c r="B22" s="14" t="n">
        <f aca="false">D19</f>
        <v>485</v>
      </c>
      <c r="D22" s="13" t="s">
        <v>46</v>
      </c>
      <c r="E22" s="14" t="n">
        <v>0</v>
      </c>
      <c r="N22" s="0" t="n">
        <v>1</v>
      </c>
    </row>
    <row r="23" customFormat="false" ht="15" hidden="false" customHeight="true" outlineLevel="0" collapsed="false">
      <c r="A23" s="13" t="s">
        <v>47</v>
      </c>
      <c r="B23" s="14" t="n">
        <f aca="false">E19</f>
        <v>0</v>
      </c>
      <c r="D23" s="13" t="s">
        <v>48</v>
      </c>
      <c r="E23" s="14" t="n">
        <v>0</v>
      </c>
    </row>
    <row r="24" customFormat="false" ht="15" hidden="false" customHeight="true" outlineLevel="0" collapsed="false">
      <c r="A24" s="13" t="s">
        <v>49</v>
      </c>
      <c r="B24" s="14" t="n">
        <f aca="false">F19</f>
        <v>0</v>
      </c>
      <c r="D24" s="13" t="s">
        <v>50</v>
      </c>
      <c r="E24" s="14" t="n">
        <f aca="false">IF(N22=0,0,E19/(N22/7))</f>
        <v>0</v>
      </c>
      <c r="O24" s="0" t="n">
        <v>1</v>
      </c>
    </row>
    <row r="25" customFormat="false" ht="15" hidden="false" customHeight="true" outlineLevel="0" collapsed="false">
      <c r="A25" s="13" t="s">
        <v>51</v>
      </c>
      <c r="B25" s="14" t="n">
        <f aca="false">G19</f>
        <v>0</v>
      </c>
      <c r="D25" s="13" t="s">
        <v>52</v>
      </c>
      <c r="E25" s="15" t="n">
        <f aca="true">IF(O24=0,"N/A",TODAY()+(D19-E19)/O24*7)</f>
        <v>49484</v>
      </c>
    </row>
    <row r="27" customFormat="false" ht="17.25" hidden="false" customHeight="true" outlineLevel="0" collapsed="false">
      <c r="A27" s="4" t="s">
        <v>53</v>
      </c>
    </row>
    <row r="28" customFormat="false" ht="15" hidden="false" customHeight="true" outlineLevel="0" collapsed="false">
      <c r="A28" s="1" t="s">
        <v>54</v>
      </c>
      <c r="B28" s="16" t="s">
        <v>55</v>
      </c>
    </row>
    <row r="29" customFormat="false" ht="15" hidden="false" customHeight="true" outlineLevel="0" collapsed="false">
      <c r="A29" s="1" t="s">
        <v>56</v>
      </c>
      <c r="B29" s="17" t="s">
        <v>19</v>
      </c>
    </row>
    <row r="30" customFormat="false" ht="15" hidden="false" customHeight="true" outlineLevel="0" collapsed="false">
      <c r="A30" s="1" t="s">
        <v>57</v>
      </c>
      <c r="B30" s="18" t="s">
        <v>58</v>
      </c>
    </row>
    <row r="31" customFormat="false" ht="15" hidden="false" customHeight="true" outlineLevel="0" collapsed="false">
      <c r="A31" s="1" t="s">
        <v>59</v>
      </c>
      <c r="B31" s="19" t="s">
        <v>20</v>
      </c>
    </row>
    <row r="32" customFormat="false" ht="15" hidden="false" customHeight="true" outlineLevel="0" collapsed="false">
      <c r="A32" s="1" t="s">
        <v>60</v>
      </c>
      <c r="B32" s="20" t="s">
        <v>61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5" min="4" style="1" width="8"/>
    <col collapsed="false" customWidth="true" hidden="false" outlineLevel="0" max="10" min="6" style="1" width="12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9.5" hidden="false" customHeight="true" outlineLevel="0" collapsed="false">
      <c r="A1" s="21" t="s">
        <v>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6.25" hidden="false" customHeight="true" outlineLevel="0" collapsed="false">
      <c r="A2" s="7" t="s">
        <v>63</v>
      </c>
      <c r="B2" s="7" t="s">
        <v>64</v>
      </c>
      <c r="C2" s="7" t="s">
        <v>65</v>
      </c>
      <c r="D2" s="7" t="s">
        <v>66</v>
      </c>
      <c r="E2" s="7" t="s">
        <v>22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 t="s">
        <v>73</v>
      </c>
    </row>
    <row r="3" customFormat="false" ht="15" hidden="false" customHeight="true" outlineLevel="0" collapsed="false">
      <c r="A3" s="8" t="s">
        <v>74</v>
      </c>
      <c r="B3" s="8" t="s">
        <v>75</v>
      </c>
      <c r="C3" s="9" t="s">
        <v>76</v>
      </c>
      <c r="D3" s="9" t="s">
        <v>77</v>
      </c>
      <c r="E3" s="9" t="s">
        <v>54</v>
      </c>
      <c r="F3" s="9"/>
      <c r="G3" s="9"/>
      <c r="H3" s="9"/>
      <c r="I3" s="9"/>
      <c r="J3" s="9" t="s">
        <v>78</v>
      </c>
      <c r="K3" s="9" t="s">
        <v>79</v>
      </c>
      <c r="L3" s="9"/>
    </row>
    <row r="4" customFormat="false" ht="23.25" hidden="false" customHeight="true" outlineLevel="0" collapsed="false">
      <c r="A4" s="8" t="s">
        <v>80</v>
      </c>
      <c r="B4" s="8" t="s">
        <v>81</v>
      </c>
      <c r="C4" s="9" t="s">
        <v>76</v>
      </c>
      <c r="D4" s="9" t="s">
        <v>77</v>
      </c>
      <c r="E4" s="9" t="s">
        <v>54</v>
      </c>
      <c r="F4" s="9"/>
      <c r="G4" s="9"/>
      <c r="H4" s="9"/>
      <c r="I4" s="9"/>
      <c r="J4" s="9" t="s">
        <v>74</v>
      </c>
      <c r="K4" s="9" t="s">
        <v>82</v>
      </c>
      <c r="L4" s="9"/>
    </row>
    <row r="5" customFormat="false" ht="15" hidden="false" customHeight="true" outlineLevel="0" collapsed="false">
      <c r="A5" s="8" t="s">
        <v>83</v>
      </c>
      <c r="B5" s="8" t="s">
        <v>84</v>
      </c>
      <c r="C5" s="9" t="s">
        <v>76</v>
      </c>
      <c r="D5" s="9" t="s">
        <v>77</v>
      </c>
      <c r="E5" s="9" t="s">
        <v>54</v>
      </c>
      <c r="F5" s="9"/>
      <c r="G5" s="9"/>
      <c r="H5" s="9"/>
      <c r="I5" s="9"/>
      <c r="J5" s="9" t="s">
        <v>80</v>
      </c>
      <c r="K5" s="9" t="s">
        <v>85</v>
      </c>
      <c r="L5" s="9"/>
    </row>
    <row r="6" customFormat="false" ht="15" hidden="false" customHeight="true" outlineLevel="0" collapsed="false">
      <c r="A6" s="8" t="s">
        <v>86</v>
      </c>
      <c r="B6" s="8" t="s">
        <v>87</v>
      </c>
      <c r="C6" s="9" t="s">
        <v>76</v>
      </c>
      <c r="D6" s="9" t="s">
        <v>77</v>
      </c>
      <c r="E6" s="9" t="s">
        <v>54</v>
      </c>
      <c r="F6" s="9"/>
      <c r="G6" s="9"/>
      <c r="H6" s="9"/>
      <c r="I6" s="9"/>
      <c r="J6" s="9" t="s">
        <v>78</v>
      </c>
      <c r="K6" s="9" t="s">
        <v>88</v>
      </c>
      <c r="L6" s="9"/>
    </row>
    <row r="7" customFormat="false" ht="15" hidden="false" customHeight="true" outlineLevel="0" collapsed="false">
      <c r="A7" s="8" t="s">
        <v>89</v>
      </c>
      <c r="B7" s="8" t="s">
        <v>90</v>
      </c>
      <c r="C7" s="9" t="s">
        <v>76</v>
      </c>
      <c r="D7" s="9" t="s">
        <v>77</v>
      </c>
      <c r="E7" s="9" t="s">
        <v>54</v>
      </c>
      <c r="F7" s="9"/>
      <c r="G7" s="9"/>
      <c r="H7" s="9"/>
      <c r="I7" s="9"/>
      <c r="J7" s="9" t="s">
        <v>86</v>
      </c>
      <c r="K7" s="9" t="s">
        <v>91</v>
      </c>
      <c r="L7" s="9"/>
    </row>
    <row r="8" customFormat="false" ht="15" hidden="false" customHeight="true" outlineLevel="0" collapsed="false">
      <c r="A8" s="8" t="s">
        <v>92</v>
      </c>
      <c r="B8" s="8" t="s">
        <v>93</v>
      </c>
      <c r="C8" s="9" t="s">
        <v>76</v>
      </c>
      <c r="D8" s="9" t="s">
        <v>77</v>
      </c>
      <c r="E8" s="9" t="s">
        <v>54</v>
      </c>
      <c r="F8" s="9"/>
      <c r="G8" s="9"/>
      <c r="H8" s="9"/>
      <c r="I8" s="9"/>
      <c r="J8" s="9" t="s">
        <v>78</v>
      </c>
      <c r="K8" s="9"/>
      <c r="L8" s="9"/>
    </row>
    <row r="9" customFormat="false" ht="15" hidden="false" customHeight="true" outlineLevel="0" collapsed="false">
      <c r="A9" s="8" t="s">
        <v>94</v>
      </c>
      <c r="B9" s="8" t="s">
        <v>95</v>
      </c>
      <c r="C9" s="9" t="s">
        <v>76</v>
      </c>
      <c r="D9" s="9" t="s">
        <v>96</v>
      </c>
      <c r="E9" s="9" t="s">
        <v>54</v>
      </c>
      <c r="F9" s="9"/>
      <c r="G9" s="9"/>
      <c r="H9" s="9"/>
      <c r="I9" s="9"/>
      <c r="J9" s="9" t="s">
        <v>78</v>
      </c>
      <c r="K9" s="9"/>
      <c r="L9" s="9"/>
    </row>
    <row r="10" customFormat="false" ht="15" hidden="false" customHeight="true" outlineLevel="0" collapsed="false">
      <c r="A10" s="8" t="s">
        <v>97</v>
      </c>
      <c r="B10" s="8" t="s">
        <v>98</v>
      </c>
      <c r="C10" s="9" t="s">
        <v>76</v>
      </c>
      <c r="D10" s="9" t="s">
        <v>96</v>
      </c>
      <c r="E10" s="9" t="s">
        <v>54</v>
      </c>
      <c r="F10" s="9"/>
      <c r="G10" s="9"/>
      <c r="H10" s="9"/>
      <c r="I10" s="9"/>
      <c r="J10" s="9" t="s">
        <v>94</v>
      </c>
      <c r="K10" s="9"/>
      <c r="L10" s="9"/>
    </row>
    <row r="11" customFormat="false" ht="15" hidden="false" customHeight="true" outlineLevel="0" collapsed="false">
      <c r="A11" s="8" t="s">
        <v>99</v>
      </c>
      <c r="B11" s="8" t="s">
        <v>100</v>
      </c>
      <c r="C11" s="9" t="s">
        <v>76</v>
      </c>
      <c r="D11" s="9" t="s">
        <v>96</v>
      </c>
      <c r="E11" s="9" t="s">
        <v>54</v>
      </c>
      <c r="F11" s="9"/>
      <c r="G11" s="9"/>
      <c r="H11" s="9"/>
      <c r="I11" s="9"/>
      <c r="J11" s="9" t="s">
        <v>94</v>
      </c>
      <c r="K11" s="9"/>
      <c r="L11" s="9"/>
    </row>
    <row r="12" customFormat="false" ht="15" hidden="false" customHeight="true" outlineLevel="0" collapsed="false">
      <c r="A12" s="8" t="s">
        <v>101</v>
      </c>
      <c r="B12" s="8" t="s">
        <v>102</v>
      </c>
      <c r="C12" s="9" t="s">
        <v>103</v>
      </c>
      <c r="D12" s="9" t="s">
        <v>77</v>
      </c>
      <c r="E12" s="9" t="s">
        <v>54</v>
      </c>
      <c r="F12" s="9"/>
      <c r="G12" s="9"/>
      <c r="H12" s="9"/>
      <c r="I12" s="9"/>
      <c r="J12" s="9" t="s">
        <v>78</v>
      </c>
      <c r="K12" s="9" t="s">
        <v>104</v>
      </c>
      <c r="L12" s="9"/>
    </row>
    <row r="13" customFormat="false" ht="15" hidden="false" customHeight="true" outlineLevel="0" collapsed="false">
      <c r="A13" s="8" t="s">
        <v>105</v>
      </c>
      <c r="B13" s="8" t="s">
        <v>106</v>
      </c>
      <c r="C13" s="9" t="s">
        <v>103</v>
      </c>
      <c r="D13" s="9" t="s">
        <v>77</v>
      </c>
      <c r="E13" s="9" t="s">
        <v>54</v>
      </c>
      <c r="F13" s="9"/>
      <c r="G13" s="9"/>
      <c r="H13" s="9"/>
      <c r="I13" s="9"/>
      <c r="J13" s="9" t="s">
        <v>101</v>
      </c>
      <c r="K13" s="9"/>
      <c r="L13" s="9"/>
    </row>
    <row r="14" customFormat="false" ht="15" hidden="false" customHeight="true" outlineLevel="0" collapsed="false">
      <c r="A14" s="8" t="s">
        <v>107</v>
      </c>
      <c r="B14" s="8" t="s">
        <v>108</v>
      </c>
      <c r="C14" s="9" t="s">
        <v>103</v>
      </c>
      <c r="D14" s="9" t="s">
        <v>77</v>
      </c>
      <c r="E14" s="9" t="s">
        <v>54</v>
      </c>
      <c r="F14" s="9"/>
      <c r="G14" s="9"/>
      <c r="H14" s="9"/>
      <c r="I14" s="9"/>
      <c r="J14" s="9" t="s">
        <v>105</v>
      </c>
      <c r="K14" s="9" t="s">
        <v>109</v>
      </c>
      <c r="L14" s="9"/>
    </row>
    <row r="15" customFormat="false" ht="15" hidden="false" customHeight="true" outlineLevel="0" collapsed="false">
      <c r="A15" s="8" t="s">
        <v>110</v>
      </c>
      <c r="B15" s="8" t="s">
        <v>111</v>
      </c>
      <c r="C15" s="9" t="s">
        <v>103</v>
      </c>
      <c r="D15" s="9" t="s">
        <v>77</v>
      </c>
      <c r="E15" s="9" t="s">
        <v>54</v>
      </c>
      <c r="F15" s="9"/>
      <c r="G15" s="9"/>
      <c r="H15" s="9"/>
      <c r="I15" s="9"/>
      <c r="J15" s="9" t="s">
        <v>107</v>
      </c>
      <c r="K15" s="9" t="s">
        <v>112</v>
      </c>
      <c r="L15" s="9"/>
    </row>
    <row r="16" customFormat="false" ht="15" hidden="false" customHeight="true" outlineLevel="0" collapsed="false">
      <c r="A16" s="8" t="s">
        <v>113</v>
      </c>
      <c r="B16" s="8" t="s">
        <v>114</v>
      </c>
      <c r="C16" s="9" t="s">
        <v>103</v>
      </c>
      <c r="D16" s="9" t="s">
        <v>77</v>
      </c>
      <c r="E16" s="9" t="s">
        <v>54</v>
      </c>
      <c r="F16" s="9"/>
      <c r="G16" s="9"/>
      <c r="H16" s="9"/>
      <c r="I16" s="9"/>
      <c r="J16" s="9" t="s">
        <v>107</v>
      </c>
      <c r="K16" s="9" t="s">
        <v>115</v>
      </c>
      <c r="L16" s="9"/>
    </row>
    <row r="17" customFormat="false" ht="15" hidden="false" customHeight="true" outlineLevel="0" collapsed="false">
      <c r="A17" s="8" t="s">
        <v>116</v>
      </c>
      <c r="B17" s="8" t="s">
        <v>117</v>
      </c>
      <c r="C17" s="9" t="s">
        <v>103</v>
      </c>
      <c r="D17" s="9" t="s">
        <v>77</v>
      </c>
      <c r="E17" s="9" t="s">
        <v>54</v>
      </c>
      <c r="F17" s="9"/>
      <c r="G17" s="9"/>
      <c r="H17" s="9"/>
      <c r="I17" s="9"/>
      <c r="J17" s="9" t="s">
        <v>110</v>
      </c>
      <c r="K17" s="9" t="s">
        <v>118</v>
      </c>
      <c r="L17" s="9"/>
    </row>
    <row r="18" customFormat="false" ht="15" hidden="false" customHeight="true" outlineLevel="0" collapsed="false">
      <c r="A18" s="8" t="s">
        <v>119</v>
      </c>
      <c r="B18" s="8" t="s">
        <v>120</v>
      </c>
      <c r="C18" s="9" t="s">
        <v>103</v>
      </c>
      <c r="D18" s="9" t="s">
        <v>77</v>
      </c>
      <c r="E18" s="9" t="s">
        <v>54</v>
      </c>
      <c r="F18" s="9"/>
      <c r="G18" s="9"/>
      <c r="H18" s="9"/>
      <c r="I18" s="9"/>
      <c r="J18" s="9" t="s">
        <v>113</v>
      </c>
      <c r="K18" s="9" t="s">
        <v>121</v>
      </c>
      <c r="L18" s="9"/>
    </row>
    <row r="19" customFormat="false" ht="15" hidden="false" customHeight="true" outlineLevel="0" collapsed="false">
      <c r="A19" s="8" t="s">
        <v>122</v>
      </c>
      <c r="B19" s="8" t="s">
        <v>123</v>
      </c>
      <c r="C19" s="9" t="s">
        <v>124</v>
      </c>
      <c r="D19" s="9" t="s">
        <v>77</v>
      </c>
      <c r="E19" s="9" t="s">
        <v>54</v>
      </c>
      <c r="F19" s="9"/>
      <c r="G19" s="9"/>
      <c r="H19" s="9"/>
      <c r="I19" s="9"/>
      <c r="J19" s="9" t="s">
        <v>78</v>
      </c>
      <c r="K19" s="9" t="s">
        <v>125</v>
      </c>
      <c r="L19" s="9"/>
    </row>
    <row r="20" customFormat="false" ht="15" hidden="false" customHeight="true" outlineLevel="0" collapsed="false">
      <c r="A20" s="8" t="s">
        <v>126</v>
      </c>
      <c r="B20" s="8" t="s">
        <v>127</v>
      </c>
      <c r="C20" s="9" t="s">
        <v>124</v>
      </c>
      <c r="D20" s="9" t="s">
        <v>77</v>
      </c>
      <c r="E20" s="9" t="s">
        <v>54</v>
      </c>
      <c r="F20" s="9"/>
      <c r="G20" s="9"/>
      <c r="H20" s="9"/>
      <c r="I20" s="9"/>
      <c r="J20" s="9" t="s">
        <v>122</v>
      </c>
      <c r="K20" s="9" t="s">
        <v>128</v>
      </c>
      <c r="L20" s="9"/>
    </row>
    <row r="21" customFormat="false" ht="15" hidden="false" customHeight="true" outlineLevel="0" collapsed="false">
      <c r="A21" s="8" t="s">
        <v>129</v>
      </c>
      <c r="B21" s="8" t="s">
        <v>130</v>
      </c>
      <c r="C21" s="9" t="s">
        <v>124</v>
      </c>
      <c r="D21" s="9" t="s">
        <v>77</v>
      </c>
      <c r="E21" s="9" t="s">
        <v>54</v>
      </c>
      <c r="F21" s="9"/>
      <c r="G21" s="9"/>
      <c r="H21" s="9"/>
      <c r="I21" s="9"/>
      <c r="J21" s="9" t="s">
        <v>126</v>
      </c>
      <c r="K21" s="9" t="s">
        <v>131</v>
      </c>
      <c r="L21" s="9"/>
    </row>
    <row r="22" customFormat="false" ht="15" hidden="false" customHeight="true" outlineLevel="0" collapsed="false">
      <c r="A22" s="8" t="s">
        <v>132</v>
      </c>
      <c r="B22" s="8" t="s">
        <v>133</v>
      </c>
      <c r="C22" s="9" t="s">
        <v>124</v>
      </c>
      <c r="D22" s="9" t="s">
        <v>77</v>
      </c>
      <c r="E22" s="9" t="s">
        <v>54</v>
      </c>
      <c r="F22" s="9"/>
      <c r="G22" s="9"/>
      <c r="H22" s="9"/>
      <c r="I22" s="9"/>
      <c r="J22" s="9" t="s">
        <v>126</v>
      </c>
      <c r="K22" s="9"/>
      <c r="L22" s="9"/>
    </row>
    <row r="23" customFormat="false" ht="15" hidden="false" customHeight="true" outlineLevel="0" collapsed="false">
      <c r="A23" s="8" t="s">
        <v>134</v>
      </c>
      <c r="B23" s="8" t="s">
        <v>135</v>
      </c>
      <c r="C23" s="9" t="s">
        <v>124</v>
      </c>
      <c r="D23" s="9" t="s">
        <v>77</v>
      </c>
      <c r="E23" s="9" t="s">
        <v>54</v>
      </c>
      <c r="F23" s="9"/>
      <c r="G23" s="9"/>
      <c r="H23" s="9"/>
      <c r="I23" s="9"/>
      <c r="J23" s="9" t="s">
        <v>126</v>
      </c>
      <c r="K23" s="9" t="s">
        <v>136</v>
      </c>
      <c r="L23" s="9"/>
    </row>
    <row r="24" customFormat="false" ht="15" hidden="false" customHeight="true" outlineLevel="0" collapsed="false">
      <c r="A24" s="8" t="s">
        <v>137</v>
      </c>
      <c r="B24" s="8" t="s">
        <v>138</v>
      </c>
      <c r="C24" s="9" t="s">
        <v>124</v>
      </c>
      <c r="D24" s="9" t="s">
        <v>77</v>
      </c>
      <c r="E24" s="9" t="s">
        <v>54</v>
      </c>
      <c r="F24" s="9"/>
      <c r="G24" s="9"/>
      <c r="H24" s="9"/>
      <c r="I24" s="9"/>
      <c r="J24" s="9" t="s">
        <v>134</v>
      </c>
      <c r="K24" s="9" t="s">
        <v>139</v>
      </c>
      <c r="L24" s="9"/>
    </row>
    <row r="25" customFormat="false" ht="15" hidden="false" customHeight="true" outlineLevel="0" collapsed="false">
      <c r="A25" s="8" t="s">
        <v>140</v>
      </c>
      <c r="B25" s="8" t="s">
        <v>141</v>
      </c>
      <c r="C25" s="9" t="s">
        <v>124</v>
      </c>
      <c r="D25" s="9" t="s">
        <v>77</v>
      </c>
      <c r="E25" s="9" t="s">
        <v>54</v>
      </c>
      <c r="F25" s="9"/>
      <c r="G25" s="9"/>
      <c r="H25" s="9"/>
      <c r="I25" s="9"/>
      <c r="J25" s="9" t="s">
        <v>137</v>
      </c>
      <c r="K25" s="9"/>
      <c r="L25" s="9"/>
    </row>
    <row r="26" customFormat="false" ht="15" hidden="false" customHeight="true" outlineLevel="0" collapsed="false">
      <c r="A26" s="8" t="s">
        <v>142</v>
      </c>
      <c r="B26" s="8" t="s">
        <v>143</v>
      </c>
      <c r="C26" s="9" t="s">
        <v>124</v>
      </c>
      <c r="D26" s="9" t="s">
        <v>77</v>
      </c>
      <c r="E26" s="9" t="s">
        <v>54</v>
      </c>
      <c r="F26" s="9"/>
      <c r="G26" s="9"/>
      <c r="H26" s="9"/>
      <c r="I26" s="9"/>
      <c r="J26" s="9" t="s">
        <v>140</v>
      </c>
      <c r="K26" s="9" t="s">
        <v>144</v>
      </c>
      <c r="L26" s="9"/>
    </row>
    <row r="27" customFormat="false" ht="15" hidden="false" customHeight="true" outlineLevel="0" collapsed="false">
      <c r="A27" s="8" t="s">
        <v>145</v>
      </c>
      <c r="B27" s="8" t="s">
        <v>146</v>
      </c>
      <c r="C27" s="9" t="s">
        <v>147</v>
      </c>
      <c r="D27" s="9" t="s">
        <v>77</v>
      </c>
      <c r="E27" s="9" t="s">
        <v>54</v>
      </c>
      <c r="F27" s="9"/>
      <c r="G27" s="9"/>
      <c r="H27" s="9"/>
      <c r="I27" s="9"/>
      <c r="J27" s="9" t="s">
        <v>78</v>
      </c>
      <c r="K27" s="9" t="s">
        <v>148</v>
      </c>
      <c r="L27" s="9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5" min="4" style="1" width="8"/>
    <col collapsed="false" customWidth="true" hidden="false" outlineLevel="0" max="10" min="6" style="1" width="12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9.5" hidden="false" customHeight="true" outlineLevel="0" collapsed="false">
      <c r="A1" s="22" t="s">
        <v>149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26.25" hidden="false" customHeight="true" outlineLevel="0" collapsed="false">
      <c r="A2" s="7" t="s">
        <v>63</v>
      </c>
      <c r="B2" s="7" t="s">
        <v>64</v>
      </c>
      <c r="C2" s="7" t="s">
        <v>65</v>
      </c>
      <c r="D2" s="7" t="s">
        <v>66</v>
      </c>
      <c r="E2" s="7" t="s">
        <v>22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 t="s">
        <v>73</v>
      </c>
    </row>
    <row r="3" customFormat="false" ht="15" hidden="false" customHeight="true" outlineLevel="0" collapsed="false">
      <c r="A3" s="8" t="s">
        <v>150</v>
      </c>
      <c r="B3" s="8" t="s">
        <v>151</v>
      </c>
      <c r="C3" s="9" t="s">
        <v>152</v>
      </c>
      <c r="D3" s="9" t="s">
        <v>77</v>
      </c>
      <c r="E3" s="9" t="s">
        <v>54</v>
      </c>
      <c r="F3" s="9"/>
      <c r="G3" s="9"/>
      <c r="H3" s="9"/>
      <c r="I3" s="9"/>
      <c r="J3" s="9" t="s">
        <v>78</v>
      </c>
      <c r="K3" s="9" t="s">
        <v>153</v>
      </c>
      <c r="L3" s="9"/>
    </row>
    <row r="4" customFormat="false" ht="15" hidden="false" customHeight="true" outlineLevel="0" collapsed="false">
      <c r="A4" s="8" t="s">
        <v>154</v>
      </c>
      <c r="B4" s="8" t="s">
        <v>155</v>
      </c>
      <c r="C4" s="9" t="s">
        <v>152</v>
      </c>
      <c r="D4" s="9" t="s">
        <v>77</v>
      </c>
      <c r="E4" s="9" t="s">
        <v>54</v>
      </c>
      <c r="F4" s="9"/>
      <c r="G4" s="9"/>
      <c r="H4" s="9"/>
      <c r="I4" s="9"/>
      <c r="J4" s="9" t="s">
        <v>150</v>
      </c>
      <c r="K4" s="9"/>
      <c r="L4" s="9"/>
    </row>
    <row r="5" customFormat="false" ht="15" hidden="false" customHeight="true" outlineLevel="0" collapsed="false">
      <c r="A5" s="8" t="s">
        <v>156</v>
      </c>
      <c r="B5" s="8" t="s">
        <v>157</v>
      </c>
      <c r="C5" s="9" t="s">
        <v>152</v>
      </c>
      <c r="D5" s="9" t="s">
        <v>77</v>
      </c>
      <c r="E5" s="9" t="s">
        <v>54</v>
      </c>
      <c r="F5" s="9"/>
      <c r="G5" s="9"/>
      <c r="H5" s="9"/>
      <c r="I5" s="9"/>
      <c r="J5" s="9" t="s">
        <v>150</v>
      </c>
      <c r="K5" s="9"/>
      <c r="L5" s="9"/>
    </row>
    <row r="6" customFormat="false" ht="15" hidden="false" customHeight="true" outlineLevel="0" collapsed="false">
      <c r="A6" s="8" t="s">
        <v>158</v>
      </c>
      <c r="B6" s="8" t="s">
        <v>159</v>
      </c>
      <c r="C6" s="9" t="s">
        <v>152</v>
      </c>
      <c r="D6" s="9" t="s">
        <v>77</v>
      </c>
      <c r="E6" s="9" t="s">
        <v>54</v>
      </c>
      <c r="F6" s="9"/>
      <c r="G6" s="9"/>
      <c r="H6" s="9"/>
      <c r="I6" s="9"/>
      <c r="J6" s="9" t="s">
        <v>150</v>
      </c>
      <c r="K6" s="9"/>
      <c r="L6" s="9"/>
    </row>
    <row r="7" customFormat="false" ht="15" hidden="false" customHeight="true" outlineLevel="0" collapsed="false">
      <c r="A7" s="8" t="s">
        <v>160</v>
      </c>
      <c r="B7" s="8" t="s">
        <v>161</v>
      </c>
      <c r="C7" s="9" t="s">
        <v>152</v>
      </c>
      <c r="D7" s="9" t="s">
        <v>77</v>
      </c>
      <c r="E7" s="9" t="s">
        <v>54</v>
      </c>
      <c r="F7" s="9"/>
      <c r="G7" s="9"/>
      <c r="H7" s="9"/>
      <c r="I7" s="9"/>
      <c r="J7" s="9" t="s">
        <v>150</v>
      </c>
      <c r="K7" s="9"/>
      <c r="L7" s="9"/>
    </row>
    <row r="8" customFormat="false" ht="15" hidden="false" customHeight="true" outlineLevel="0" collapsed="false">
      <c r="A8" s="8" t="s">
        <v>162</v>
      </c>
      <c r="B8" s="8" t="s">
        <v>163</v>
      </c>
      <c r="C8" s="9" t="s">
        <v>152</v>
      </c>
      <c r="D8" s="9" t="s">
        <v>77</v>
      </c>
      <c r="E8" s="9" t="s">
        <v>54</v>
      </c>
      <c r="F8" s="9"/>
      <c r="G8" s="9"/>
      <c r="H8" s="9"/>
      <c r="I8" s="9"/>
      <c r="J8" s="9" t="s">
        <v>150</v>
      </c>
      <c r="K8" s="9"/>
      <c r="L8" s="9"/>
    </row>
    <row r="9" customFormat="false" ht="15" hidden="false" customHeight="true" outlineLevel="0" collapsed="false">
      <c r="A9" s="8" t="s">
        <v>164</v>
      </c>
      <c r="B9" s="8" t="s">
        <v>165</v>
      </c>
      <c r="C9" s="9" t="s">
        <v>152</v>
      </c>
      <c r="D9" s="9" t="s">
        <v>77</v>
      </c>
      <c r="E9" s="9" t="s">
        <v>54</v>
      </c>
      <c r="F9" s="9"/>
      <c r="G9" s="9"/>
      <c r="H9" s="9"/>
      <c r="I9" s="9"/>
      <c r="J9" s="9" t="s">
        <v>150</v>
      </c>
      <c r="K9" s="9"/>
      <c r="L9" s="9"/>
    </row>
    <row r="10" customFormat="false" ht="15" hidden="false" customHeight="true" outlineLevel="0" collapsed="false">
      <c r="A10" s="8" t="s">
        <v>166</v>
      </c>
      <c r="B10" s="8" t="s">
        <v>167</v>
      </c>
      <c r="C10" s="9" t="s">
        <v>152</v>
      </c>
      <c r="D10" s="9" t="s">
        <v>77</v>
      </c>
      <c r="E10" s="9" t="s">
        <v>54</v>
      </c>
      <c r="F10" s="9"/>
      <c r="G10" s="9"/>
      <c r="H10" s="9"/>
      <c r="I10" s="9"/>
      <c r="J10" s="9" t="s">
        <v>164</v>
      </c>
      <c r="K10" s="9"/>
      <c r="L10" s="9"/>
    </row>
    <row r="11" customFormat="false" ht="15" hidden="false" customHeight="true" outlineLevel="0" collapsed="false">
      <c r="A11" s="8" t="s">
        <v>168</v>
      </c>
      <c r="B11" s="8" t="s">
        <v>169</v>
      </c>
      <c r="C11" s="9" t="s">
        <v>152</v>
      </c>
      <c r="D11" s="9" t="s">
        <v>77</v>
      </c>
      <c r="E11" s="9" t="s">
        <v>54</v>
      </c>
      <c r="F11" s="9"/>
      <c r="G11" s="9"/>
      <c r="H11" s="9"/>
      <c r="I11" s="9"/>
      <c r="J11" s="9" t="s">
        <v>166</v>
      </c>
      <c r="K11" s="9"/>
      <c r="L11" s="9"/>
    </row>
    <row r="12" customFormat="false" ht="15" hidden="false" customHeight="true" outlineLevel="0" collapsed="false">
      <c r="A12" s="8" t="s">
        <v>170</v>
      </c>
      <c r="B12" s="8" t="s">
        <v>171</v>
      </c>
      <c r="C12" s="9" t="s">
        <v>152</v>
      </c>
      <c r="D12" s="9" t="s">
        <v>77</v>
      </c>
      <c r="E12" s="9" t="s">
        <v>54</v>
      </c>
      <c r="F12" s="9"/>
      <c r="G12" s="9"/>
      <c r="H12" s="9"/>
      <c r="I12" s="9"/>
      <c r="J12" s="9" t="s">
        <v>168</v>
      </c>
      <c r="K12" s="9"/>
      <c r="L12" s="9"/>
    </row>
    <row r="13" customFormat="false" ht="15" hidden="false" customHeight="true" outlineLevel="0" collapsed="false">
      <c r="A13" s="8" t="s">
        <v>172</v>
      </c>
      <c r="B13" s="8" t="s">
        <v>173</v>
      </c>
      <c r="C13" s="9" t="s">
        <v>152</v>
      </c>
      <c r="D13" s="9" t="s">
        <v>96</v>
      </c>
      <c r="E13" s="9" t="s">
        <v>54</v>
      </c>
      <c r="F13" s="9"/>
      <c r="G13" s="9"/>
      <c r="H13" s="9"/>
      <c r="I13" s="9"/>
      <c r="J13" s="9" t="s">
        <v>170</v>
      </c>
      <c r="K13" s="9" t="s">
        <v>174</v>
      </c>
      <c r="L13" s="9"/>
    </row>
    <row r="14" customFormat="false" ht="15" hidden="false" customHeight="true" outlineLevel="0" collapsed="false">
      <c r="A14" s="8" t="s">
        <v>175</v>
      </c>
      <c r="B14" s="8" t="s">
        <v>176</v>
      </c>
      <c r="C14" s="9" t="s">
        <v>152</v>
      </c>
      <c r="D14" s="9" t="s">
        <v>96</v>
      </c>
      <c r="E14" s="9" t="s">
        <v>54</v>
      </c>
      <c r="F14" s="9"/>
      <c r="G14" s="9"/>
      <c r="H14" s="9"/>
      <c r="I14" s="9"/>
      <c r="J14" s="9" t="s">
        <v>172</v>
      </c>
      <c r="K14" s="9" t="s">
        <v>174</v>
      </c>
      <c r="L14" s="9"/>
    </row>
    <row r="15" customFormat="false" ht="15" hidden="false" customHeight="true" outlineLevel="0" collapsed="false">
      <c r="A15" s="8" t="s">
        <v>177</v>
      </c>
      <c r="B15" s="8" t="s">
        <v>178</v>
      </c>
      <c r="C15" s="9" t="s">
        <v>179</v>
      </c>
      <c r="D15" s="9" t="s">
        <v>77</v>
      </c>
      <c r="E15" s="9" t="s">
        <v>54</v>
      </c>
      <c r="F15" s="9"/>
      <c r="G15" s="9"/>
      <c r="H15" s="9"/>
      <c r="I15" s="9"/>
      <c r="J15" s="9" t="s">
        <v>78</v>
      </c>
      <c r="K15" s="9"/>
      <c r="L15" s="9"/>
    </row>
    <row r="16" customFormat="false" ht="15" hidden="false" customHeight="true" outlineLevel="0" collapsed="false">
      <c r="A16" s="8" t="s">
        <v>180</v>
      </c>
      <c r="B16" s="8" t="s">
        <v>181</v>
      </c>
      <c r="C16" s="9" t="s">
        <v>179</v>
      </c>
      <c r="D16" s="9" t="s">
        <v>77</v>
      </c>
      <c r="E16" s="9" t="s">
        <v>54</v>
      </c>
      <c r="F16" s="9"/>
      <c r="G16" s="9"/>
      <c r="H16" s="9"/>
      <c r="I16" s="9"/>
      <c r="J16" s="9" t="s">
        <v>177</v>
      </c>
      <c r="K16" s="9"/>
      <c r="L16" s="9"/>
    </row>
    <row r="17" customFormat="false" ht="15" hidden="false" customHeight="true" outlineLevel="0" collapsed="false">
      <c r="A17" s="8" t="s">
        <v>182</v>
      </c>
      <c r="B17" s="8" t="s">
        <v>183</v>
      </c>
      <c r="C17" s="9" t="s">
        <v>179</v>
      </c>
      <c r="D17" s="9" t="s">
        <v>77</v>
      </c>
      <c r="E17" s="9" t="s">
        <v>54</v>
      </c>
      <c r="F17" s="9"/>
      <c r="G17" s="9"/>
      <c r="H17" s="9"/>
      <c r="I17" s="9"/>
      <c r="J17" s="9" t="s">
        <v>180</v>
      </c>
      <c r="K17" s="9"/>
      <c r="L17" s="9"/>
    </row>
    <row r="18" customFormat="false" ht="15" hidden="false" customHeight="true" outlineLevel="0" collapsed="false">
      <c r="A18" s="8" t="s">
        <v>184</v>
      </c>
      <c r="B18" s="8" t="s">
        <v>185</v>
      </c>
      <c r="C18" s="9" t="s">
        <v>179</v>
      </c>
      <c r="D18" s="9" t="s">
        <v>77</v>
      </c>
      <c r="E18" s="9" t="s">
        <v>54</v>
      </c>
      <c r="F18" s="9"/>
      <c r="G18" s="9"/>
      <c r="H18" s="9"/>
      <c r="I18" s="9"/>
      <c r="J18" s="9" t="s">
        <v>180</v>
      </c>
      <c r="K18" s="9"/>
      <c r="L18" s="9"/>
    </row>
    <row r="19" customFormat="false" ht="15" hidden="false" customHeight="true" outlineLevel="0" collapsed="false">
      <c r="A19" s="8" t="s">
        <v>186</v>
      </c>
      <c r="B19" s="8" t="s">
        <v>187</v>
      </c>
      <c r="C19" s="9" t="s">
        <v>179</v>
      </c>
      <c r="D19" s="9" t="s">
        <v>77</v>
      </c>
      <c r="E19" s="9" t="s">
        <v>54</v>
      </c>
      <c r="F19" s="9"/>
      <c r="G19" s="9"/>
      <c r="H19" s="9"/>
      <c r="I19" s="9"/>
      <c r="J19" s="9" t="s">
        <v>180</v>
      </c>
      <c r="K19" s="9"/>
      <c r="L19" s="9"/>
    </row>
    <row r="20" customFormat="false" ht="15" hidden="false" customHeight="true" outlineLevel="0" collapsed="false">
      <c r="A20" s="8" t="s">
        <v>188</v>
      </c>
      <c r="B20" s="8" t="s">
        <v>189</v>
      </c>
      <c r="C20" s="9" t="s">
        <v>179</v>
      </c>
      <c r="D20" s="9" t="s">
        <v>96</v>
      </c>
      <c r="E20" s="9" t="s">
        <v>54</v>
      </c>
      <c r="F20" s="9"/>
      <c r="G20" s="9"/>
      <c r="H20" s="9"/>
      <c r="I20" s="9"/>
      <c r="J20" s="9" t="s">
        <v>186</v>
      </c>
      <c r="K20" s="9"/>
      <c r="L20" s="9"/>
    </row>
    <row r="21" customFormat="false" ht="15" hidden="false" customHeight="true" outlineLevel="0" collapsed="false">
      <c r="A21" s="8" t="s">
        <v>190</v>
      </c>
      <c r="B21" s="8" t="s">
        <v>191</v>
      </c>
      <c r="C21" s="9" t="s">
        <v>124</v>
      </c>
      <c r="D21" s="9" t="s">
        <v>77</v>
      </c>
      <c r="E21" s="9" t="s">
        <v>54</v>
      </c>
      <c r="F21" s="9"/>
      <c r="G21" s="9"/>
      <c r="H21" s="9"/>
      <c r="I21" s="9"/>
      <c r="J21" s="9" t="s">
        <v>78</v>
      </c>
      <c r="K21" s="9"/>
      <c r="L21" s="9"/>
    </row>
    <row r="22" customFormat="false" ht="15" hidden="false" customHeight="true" outlineLevel="0" collapsed="false">
      <c r="A22" s="8" t="s">
        <v>192</v>
      </c>
      <c r="B22" s="8" t="s">
        <v>193</v>
      </c>
      <c r="C22" s="9" t="s">
        <v>124</v>
      </c>
      <c r="D22" s="9" t="s">
        <v>77</v>
      </c>
      <c r="E22" s="9" t="s">
        <v>54</v>
      </c>
      <c r="F22" s="9"/>
      <c r="G22" s="9"/>
      <c r="H22" s="9"/>
      <c r="I22" s="9"/>
      <c r="J22" s="9" t="s">
        <v>190</v>
      </c>
      <c r="K22" s="9" t="s">
        <v>194</v>
      </c>
      <c r="L22" s="9"/>
    </row>
    <row r="23" customFormat="false" ht="15" hidden="false" customHeight="true" outlineLevel="0" collapsed="false">
      <c r="A23" s="8" t="s">
        <v>195</v>
      </c>
      <c r="B23" s="8" t="s">
        <v>196</v>
      </c>
      <c r="C23" s="9" t="s">
        <v>124</v>
      </c>
      <c r="D23" s="9" t="s">
        <v>77</v>
      </c>
      <c r="E23" s="9" t="s">
        <v>54</v>
      </c>
      <c r="F23" s="9"/>
      <c r="G23" s="9"/>
      <c r="H23" s="9"/>
      <c r="I23" s="9"/>
      <c r="J23" s="9" t="s">
        <v>192</v>
      </c>
      <c r="K23" s="9"/>
      <c r="L23" s="9"/>
    </row>
    <row r="24" customFormat="false" ht="15" hidden="false" customHeight="true" outlineLevel="0" collapsed="false">
      <c r="A24" s="8" t="s">
        <v>197</v>
      </c>
      <c r="B24" s="8" t="s">
        <v>198</v>
      </c>
      <c r="C24" s="9" t="s">
        <v>124</v>
      </c>
      <c r="D24" s="9" t="s">
        <v>77</v>
      </c>
      <c r="E24" s="9" t="s">
        <v>54</v>
      </c>
      <c r="F24" s="9"/>
      <c r="G24" s="9"/>
      <c r="H24" s="9"/>
      <c r="I24" s="9"/>
      <c r="J24" s="9" t="s">
        <v>195</v>
      </c>
      <c r="K24" s="9"/>
      <c r="L24" s="9"/>
    </row>
    <row r="25" customFormat="false" ht="15" hidden="false" customHeight="true" outlineLevel="0" collapsed="false">
      <c r="A25" s="8" t="s">
        <v>199</v>
      </c>
      <c r="B25" s="8" t="s">
        <v>200</v>
      </c>
      <c r="C25" s="9" t="s">
        <v>124</v>
      </c>
      <c r="D25" s="9" t="s">
        <v>77</v>
      </c>
      <c r="E25" s="9" t="s">
        <v>54</v>
      </c>
      <c r="F25" s="9"/>
      <c r="G25" s="9"/>
      <c r="H25" s="9"/>
      <c r="I25" s="9"/>
      <c r="J25" s="9" t="s">
        <v>197</v>
      </c>
      <c r="K25" s="9"/>
      <c r="L25" s="9"/>
    </row>
    <row r="26" customFormat="false" ht="15" hidden="false" customHeight="true" outlineLevel="0" collapsed="false">
      <c r="A26" s="8" t="s">
        <v>201</v>
      </c>
      <c r="B26" s="8" t="s">
        <v>202</v>
      </c>
      <c r="C26" s="9" t="s">
        <v>124</v>
      </c>
      <c r="D26" s="9" t="s">
        <v>77</v>
      </c>
      <c r="E26" s="9" t="s">
        <v>54</v>
      </c>
      <c r="F26" s="9"/>
      <c r="G26" s="9"/>
      <c r="H26" s="9"/>
      <c r="I26" s="9"/>
      <c r="J26" s="9" t="s">
        <v>199</v>
      </c>
      <c r="K26" s="9" t="s">
        <v>203</v>
      </c>
      <c r="L26" s="9"/>
    </row>
    <row r="27" customFormat="false" ht="15" hidden="false" customHeight="true" outlineLevel="0" collapsed="false">
      <c r="A27" s="8" t="s">
        <v>204</v>
      </c>
      <c r="B27" s="8" t="s">
        <v>205</v>
      </c>
      <c r="C27" s="9" t="s">
        <v>124</v>
      </c>
      <c r="D27" s="9" t="s">
        <v>96</v>
      </c>
      <c r="E27" s="9" t="s">
        <v>54</v>
      </c>
      <c r="F27" s="9"/>
      <c r="G27" s="9"/>
      <c r="H27" s="9"/>
      <c r="I27" s="9"/>
      <c r="J27" s="9" t="s">
        <v>201</v>
      </c>
      <c r="K27" s="9"/>
      <c r="L27" s="9"/>
    </row>
    <row r="28" customFormat="false" ht="15" hidden="false" customHeight="true" outlineLevel="0" collapsed="false">
      <c r="A28" s="8" t="s">
        <v>206</v>
      </c>
      <c r="B28" s="8" t="s">
        <v>207</v>
      </c>
      <c r="C28" s="9" t="s">
        <v>124</v>
      </c>
      <c r="D28" s="9" t="s">
        <v>96</v>
      </c>
      <c r="E28" s="9" t="s">
        <v>54</v>
      </c>
      <c r="F28" s="9"/>
      <c r="G28" s="9"/>
      <c r="H28" s="9"/>
      <c r="I28" s="9"/>
      <c r="J28" s="9" t="s">
        <v>201</v>
      </c>
      <c r="K28" s="9"/>
      <c r="L28" s="9"/>
    </row>
    <row r="29" customFormat="false" ht="15" hidden="false" customHeight="true" outlineLevel="0" collapsed="false">
      <c r="A29" s="8" t="s">
        <v>208</v>
      </c>
      <c r="B29" s="8" t="s">
        <v>209</v>
      </c>
      <c r="C29" s="9" t="s">
        <v>210</v>
      </c>
      <c r="D29" s="9" t="s">
        <v>77</v>
      </c>
      <c r="E29" s="9" t="s">
        <v>54</v>
      </c>
      <c r="F29" s="9"/>
      <c r="G29" s="9"/>
      <c r="H29" s="9"/>
      <c r="I29" s="9"/>
      <c r="J29" s="9" t="s">
        <v>201</v>
      </c>
      <c r="K29" s="9"/>
      <c r="L29" s="9"/>
    </row>
    <row r="30" customFormat="false" ht="15" hidden="false" customHeight="true" outlineLevel="0" collapsed="false">
      <c r="A30" s="8" t="s">
        <v>211</v>
      </c>
      <c r="B30" s="8" t="s">
        <v>212</v>
      </c>
      <c r="C30" s="9" t="s">
        <v>210</v>
      </c>
      <c r="D30" s="9" t="s">
        <v>77</v>
      </c>
      <c r="E30" s="9" t="s">
        <v>54</v>
      </c>
      <c r="F30" s="9"/>
      <c r="G30" s="9"/>
      <c r="H30" s="9"/>
      <c r="I30" s="9"/>
      <c r="J30" s="9" t="s">
        <v>208</v>
      </c>
      <c r="K30" s="9"/>
      <c r="L30" s="9"/>
    </row>
    <row r="31" customFormat="false" ht="15" hidden="false" customHeight="true" outlineLevel="0" collapsed="false">
      <c r="A31" s="8" t="s">
        <v>213</v>
      </c>
      <c r="B31" s="8" t="s">
        <v>214</v>
      </c>
      <c r="C31" s="9" t="s">
        <v>210</v>
      </c>
      <c r="D31" s="9" t="s">
        <v>77</v>
      </c>
      <c r="E31" s="9" t="s">
        <v>54</v>
      </c>
      <c r="F31" s="9"/>
      <c r="G31" s="9"/>
      <c r="H31" s="9"/>
      <c r="I31" s="9"/>
      <c r="J31" s="9" t="s">
        <v>211</v>
      </c>
      <c r="K31" s="9"/>
      <c r="L31" s="9"/>
    </row>
    <row r="32" customFormat="false" ht="15" hidden="false" customHeight="true" outlineLevel="0" collapsed="false">
      <c r="A32" s="8" t="s">
        <v>215</v>
      </c>
      <c r="B32" s="8" t="s">
        <v>216</v>
      </c>
      <c r="C32" s="9" t="s">
        <v>210</v>
      </c>
      <c r="D32" s="9" t="s">
        <v>77</v>
      </c>
      <c r="E32" s="9" t="s">
        <v>54</v>
      </c>
      <c r="F32" s="9"/>
      <c r="G32" s="9"/>
      <c r="H32" s="9"/>
      <c r="I32" s="9"/>
      <c r="J32" s="9" t="s">
        <v>213</v>
      </c>
      <c r="K32" s="9"/>
      <c r="L32" s="9"/>
    </row>
    <row r="33" customFormat="false" ht="15" hidden="false" customHeight="true" outlineLevel="0" collapsed="false">
      <c r="A33" s="8" t="s">
        <v>217</v>
      </c>
      <c r="B33" s="8" t="s">
        <v>218</v>
      </c>
      <c r="C33" s="9" t="s">
        <v>210</v>
      </c>
      <c r="D33" s="9" t="s">
        <v>77</v>
      </c>
      <c r="E33" s="9" t="s">
        <v>54</v>
      </c>
      <c r="F33" s="9"/>
      <c r="G33" s="9"/>
      <c r="H33" s="9"/>
      <c r="I33" s="9"/>
      <c r="J33" s="9" t="s">
        <v>213</v>
      </c>
      <c r="K33" s="9"/>
      <c r="L33" s="9"/>
    </row>
    <row r="34" customFormat="false" ht="15" hidden="false" customHeight="true" outlineLevel="0" collapsed="false">
      <c r="A34" s="8" t="s">
        <v>219</v>
      </c>
      <c r="B34" s="8" t="s">
        <v>220</v>
      </c>
      <c r="C34" s="9" t="s">
        <v>210</v>
      </c>
      <c r="D34" s="9" t="s">
        <v>77</v>
      </c>
      <c r="E34" s="9" t="s">
        <v>54</v>
      </c>
      <c r="F34" s="9"/>
      <c r="G34" s="9"/>
      <c r="H34" s="9"/>
      <c r="I34" s="9"/>
      <c r="J34" s="9" t="s">
        <v>217</v>
      </c>
      <c r="K34" s="9"/>
      <c r="L34" s="9"/>
    </row>
    <row r="35" customFormat="false" ht="15" hidden="false" customHeight="true" outlineLevel="0" collapsed="false">
      <c r="A35" s="8" t="s">
        <v>221</v>
      </c>
      <c r="B35" s="8" t="s">
        <v>222</v>
      </c>
      <c r="C35" s="9" t="s">
        <v>210</v>
      </c>
      <c r="D35" s="9" t="s">
        <v>77</v>
      </c>
      <c r="E35" s="9" t="s">
        <v>54</v>
      </c>
      <c r="F35" s="9"/>
      <c r="G35" s="9"/>
      <c r="H35" s="9"/>
      <c r="I35" s="9"/>
      <c r="J35" s="9" t="s">
        <v>219</v>
      </c>
      <c r="K35" s="9"/>
      <c r="L35" s="9"/>
    </row>
    <row r="36" customFormat="false" ht="15" hidden="false" customHeight="true" outlineLevel="0" collapsed="false">
      <c r="A36" s="8" t="s">
        <v>223</v>
      </c>
      <c r="B36" s="8" t="s">
        <v>224</v>
      </c>
      <c r="C36" s="9" t="s">
        <v>210</v>
      </c>
      <c r="D36" s="9" t="s">
        <v>96</v>
      </c>
      <c r="E36" s="9" t="s">
        <v>54</v>
      </c>
      <c r="F36" s="9"/>
      <c r="G36" s="9"/>
      <c r="H36" s="9"/>
      <c r="I36" s="9"/>
      <c r="J36" s="9" t="s">
        <v>221</v>
      </c>
      <c r="K36" s="9"/>
      <c r="L36" s="9"/>
    </row>
    <row r="37" customFormat="false" ht="15" hidden="false" customHeight="true" outlineLevel="0" collapsed="false">
      <c r="A37" s="8" t="s">
        <v>225</v>
      </c>
      <c r="B37" s="8" t="s">
        <v>226</v>
      </c>
      <c r="C37" s="9" t="s">
        <v>210</v>
      </c>
      <c r="D37" s="9" t="s">
        <v>96</v>
      </c>
      <c r="E37" s="9" t="s">
        <v>54</v>
      </c>
      <c r="F37" s="9"/>
      <c r="G37" s="9"/>
      <c r="H37" s="9"/>
      <c r="I37" s="9"/>
      <c r="J37" s="9" t="s">
        <v>221</v>
      </c>
      <c r="K37" s="9"/>
      <c r="L37" s="9"/>
    </row>
    <row r="38" customFormat="false" ht="15" hidden="false" customHeight="true" outlineLevel="0" collapsed="false">
      <c r="A38" s="8" t="s">
        <v>227</v>
      </c>
      <c r="B38" s="8" t="s">
        <v>228</v>
      </c>
      <c r="C38" s="9" t="s">
        <v>210</v>
      </c>
      <c r="D38" s="9" t="s">
        <v>96</v>
      </c>
      <c r="E38" s="9" t="s">
        <v>54</v>
      </c>
      <c r="F38" s="9"/>
      <c r="G38" s="9"/>
      <c r="H38" s="9"/>
      <c r="I38" s="9"/>
      <c r="J38" s="9" t="s">
        <v>221</v>
      </c>
      <c r="K38" s="9"/>
      <c r="L38" s="9"/>
    </row>
    <row r="39" customFormat="false" ht="15" hidden="false" customHeight="true" outlineLevel="0" collapsed="false">
      <c r="A39" s="8" t="s">
        <v>229</v>
      </c>
      <c r="B39" s="8" t="s">
        <v>230</v>
      </c>
      <c r="C39" s="9" t="s">
        <v>231</v>
      </c>
      <c r="D39" s="9" t="s">
        <v>77</v>
      </c>
      <c r="E39" s="9" t="s">
        <v>54</v>
      </c>
      <c r="F39" s="9"/>
      <c r="G39" s="9"/>
      <c r="H39" s="9"/>
      <c r="I39" s="9"/>
      <c r="J39" s="9" t="s">
        <v>201</v>
      </c>
      <c r="K39" s="9"/>
      <c r="L39" s="9"/>
    </row>
    <row r="40" customFormat="false" ht="15" hidden="false" customHeight="true" outlineLevel="0" collapsed="false">
      <c r="A40" s="8" t="s">
        <v>232</v>
      </c>
      <c r="B40" s="8" t="s">
        <v>233</v>
      </c>
      <c r="C40" s="9" t="s">
        <v>231</v>
      </c>
      <c r="D40" s="9" t="s">
        <v>77</v>
      </c>
      <c r="E40" s="9" t="s">
        <v>54</v>
      </c>
      <c r="F40" s="9"/>
      <c r="G40" s="9"/>
      <c r="H40" s="9"/>
      <c r="I40" s="9"/>
      <c r="J40" s="9" t="s">
        <v>229</v>
      </c>
      <c r="K40" s="9"/>
      <c r="L40" s="9"/>
    </row>
    <row r="41" customFormat="false" ht="15" hidden="false" customHeight="true" outlineLevel="0" collapsed="false">
      <c r="A41" s="8" t="s">
        <v>234</v>
      </c>
      <c r="B41" s="8" t="s">
        <v>235</v>
      </c>
      <c r="C41" s="9" t="s">
        <v>231</v>
      </c>
      <c r="D41" s="9" t="s">
        <v>77</v>
      </c>
      <c r="E41" s="9" t="s">
        <v>54</v>
      </c>
      <c r="F41" s="9"/>
      <c r="G41" s="9"/>
      <c r="H41" s="9"/>
      <c r="I41" s="9"/>
      <c r="J41" s="9" t="s">
        <v>232</v>
      </c>
      <c r="K41" s="9"/>
      <c r="L41" s="9"/>
    </row>
    <row r="42" customFormat="false" ht="15" hidden="false" customHeight="true" outlineLevel="0" collapsed="false">
      <c r="A42" s="8" t="s">
        <v>236</v>
      </c>
      <c r="B42" s="8" t="s">
        <v>237</v>
      </c>
      <c r="C42" s="9" t="s">
        <v>231</v>
      </c>
      <c r="D42" s="9" t="s">
        <v>77</v>
      </c>
      <c r="E42" s="9" t="s">
        <v>54</v>
      </c>
      <c r="F42" s="9"/>
      <c r="G42" s="9"/>
      <c r="H42" s="9"/>
      <c r="I42" s="9"/>
      <c r="J42" s="9" t="s">
        <v>234</v>
      </c>
      <c r="K42" s="9"/>
      <c r="L42" s="9"/>
    </row>
    <row r="43" customFormat="false" ht="15" hidden="false" customHeight="true" outlineLevel="0" collapsed="false">
      <c r="A43" s="8" t="s">
        <v>238</v>
      </c>
      <c r="B43" s="8" t="s">
        <v>239</v>
      </c>
      <c r="C43" s="9" t="s">
        <v>231</v>
      </c>
      <c r="D43" s="9" t="s">
        <v>77</v>
      </c>
      <c r="E43" s="9" t="s">
        <v>54</v>
      </c>
      <c r="F43" s="9"/>
      <c r="G43" s="9"/>
      <c r="H43" s="9"/>
      <c r="I43" s="9"/>
      <c r="J43" s="9" t="s">
        <v>234</v>
      </c>
      <c r="K43" s="9"/>
      <c r="L43" s="9"/>
    </row>
    <row r="44" customFormat="false" ht="15" hidden="false" customHeight="true" outlineLevel="0" collapsed="false">
      <c r="A44" s="8" t="s">
        <v>240</v>
      </c>
      <c r="B44" s="8" t="s">
        <v>241</v>
      </c>
      <c r="C44" s="9" t="s">
        <v>231</v>
      </c>
      <c r="D44" s="9" t="s">
        <v>77</v>
      </c>
      <c r="E44" s="9" t="s">
        <v>54</v>
      </c>
      <c r="F44" s="9"/>
      <c r="G44" s="9"/>
      <c r="H44" s="9"/>
      <c r="I44" s="9"/>
      <c r="J44" s="9" t="s">
        <v>234</v>
      </c>
      <c r="K44" s="9"/>
      <c r="L44" s="9"/>
    </row>
    <row r="45" customFormat="false" ht="15" hidden="false" customHeight="true" outlineLevel="0" collapsed="false">
      <c r="A45" s="8" t="s">
        <v>242</v>
      </c>
      <c r="B45" s="8" t="s">
        <v>243</v>
      </c>
      <c r="C45" s="9" t="s">
        <v>231</v>
      </c>
      <c r="D45" s="9" t="s">
        <v>77</v>
      </c>
      <c r="E45" s="9" t="s">
        <v>54</v>
      </c>
      <c r="F45" s="9"/>
      <c r="G45" s="9"/>
      <c r="H45" s="9"/>
      <c r="I45" s="9"/>
      <c r="J45" s="9" t="s">
        <v>234</v>
      </c>
      <c r="K45" s="9" t="s">
        <v>244</v>
      </c>
      <c r="L45" s="9"/>
    </row>
    <row r="46" customFormat="false" ht="15" hidden="false" customHeight="true" outlineLevel="0" collapsed="false">
      <c r="A46" s="8" t="s">
        <v>245</v>
      </c>
      <c r="B46" s="8" t="s">
        <v>246</v>
      </c>
      <c r="C46" s="9" t="s">
        <v>231</v>
      </c>
      <c r="D46" s="9" t="s">
        <v>77</v>
      </c>
      <c r="E46" s="9" t="s">
        <v>54</v>
      </c>
      <c r="F46" s="9"/>
      <c r="G46" s="9"/>
      <c r="H46" s="9"/>
      <c r="I46" s="9"/>
      <c r="J46" s="9" t="s">
        <v>242</v>
      </c>
      <c r="K46" s="9"/>
      <c r="L46" s="9"/>
    </row>
    <row r="47" customFormat="false" ht="15" hidden="false" customHeight="true" outlineLevel="0" collapsed="false">
      <c r="A47" s="8" t="s">
        <v>247</v>
      </c>
      <c r="B47" s="8" t="s">
        <v>248</v>
      </c>
      <c r="C47" s="9" t="s">
        <v>231</v>
      </c>
      <c r="D47" s="9" t="s">
        <v>96</v>
      </c>
      <c r="E47" s="9" t="s">
        <v>54</v>
      </c>
      <c r="F47" s="9"/>
      <c r="G47" s="9"/>
      <c r="H47" s="9"/>
      <c r="I47" s="9"/>
      <c r="J47" s="9" t="s">
        <v>245</v>
      </c>
      <c r="K47" s="9"/>
      <c r="L47" s="9"/>
    </row>
    <row r="48" customFormat="false" ht="15" hidden="false" customHeight="true" outlineLevel="0" collapsed="false">
      <c r="A48" s="8" t="s">
        <v>249</v>
      </c>
      <c r="B48" s="8" t="s">
        <v>250</v>
      </c>
      <c r="C48" s="9" t="s">
        <v>231</v>
      </c>
      <c r="D48" s="9" t="s">
        <v>96</v>
      </c>
      <c r="E48" s="9" t="s">
        <v>54</v>
      </c>
      <c r="F48" s="9"/>
      <c r="G48" s="9"/>
      <c r="H48" s="9"/>
      <c r="I48" s="9"/>
      <c r="J48" s="9" t="s">
        <v>245</v>
      </c>
      <c r="K48" s="9"/>
      <c r="L48" s="9"/>
    </row>
    <row r="49" customFormat="false" ht="15" hidden="false" customHeight="true" outlineLevel="0" collapsed="false">
      <c r="A49" s="8" t="s">
        <v>251</v>
      </c>
      <c r="B49" s="8" t="s">
        <v>252</v>
      </c>
      <c r="C49" s="9" t="s">
        <v>253</v>
      </c>
      <c r="D49" s="9" t="s">
        <v>77</v>
      </c>
      <c r="E49" s="9" t="s">
        <v>54</v>
      </c>
      <c r="F49" s="9"/>
      <c r="G49" s="9"/>
      <c r="H49" s="9"/>
      <c r="I49" s="9"/>
      <c r="J49" s="9" t="s">
        <v>245</v>
      </c>
      <c r="K49" s="9"/>
      <c r="L49" s="9"/>
    </row>
    <row r="50" customFormat="false" ht="15" hidden="false" customHeight="true" outlineLevel="0" collapsed="false">
      <c r="A50" s="8" t="s">
        <v>254</v>
      </c>
      <c r="B50" s="8" t="s">
        <v>255</v>
      </c>
      <c r="C50" s="9" t="s">
        <v>253</v>
      </c>
      <c r="D50" s="9" t="s">
        <v>77</v>
      </c>
      <c r="E50" s="9" t="s">
        <v>54</v>
      </c>
      <c r="F50" s="9"/>
      <c r="G50" s="9"/>
      <c r="H50" s="9"/>
      <c r="I50" s="9"/>
      <c r="J50" s="9" t="s">
        <v>251</v>
      </c>
      <c r="K50" s="9"/>
      <c r="L50" s="9"/>
    </row>
    <row r="51" customFormat="false" ht="15" hidden="false" customHeight="true" outlineLevel="0" collapsed="false">
      <c r="A51" s="8" t="s">
        <v>256</v>
      </c>
      <c r="B51" s="8" t="s">
        <v>257</v>
      </c>
      <c r="C51" s="9" t="s">
        <v>253</v>
      </c>
      <c r="D51" s="9" t="s">
        <v>77</v>
      </c>
      <c r="E51" s="9" t="s">
        <v>54</v>
      </c>
      <c r="F51" s="9"/>
      <c r="G51" s="9"/>
      <c r="H51" s="9"/>
      <c r="I51" s="9"/>
      <c r="J51" s="9" t="s">
        <v>251</v>
      </c>
      <c r="K51" s="9"/>
      <c r="L51" s="9"/>
    </row>
    <row r="52" customFormat="false" ht="15" hidden="false" customHeight="true" outlineLevel="0" collapsed="false">
      <c r="A52" s="8" t="s">
        <v>258</v>
      </c>
      <c r="B52" s="8" t="s">
        <v>259</v>
      </c>
      <c r="C52" s="9" t="s">
        <v>253</v>
      </c>
      <c r="D52" s="9" t="s">
        <v>77</v>
      </c>
      <c r="E52" s="9" t="s">
        <v>54</v>
      </c>
      <c r="F52" s="9"/>
      <c r="G52" s="9"/>
      <c r="H52" s="9"/>
      <c r="I52" s="9"/>
      <c r="J52" s="9" t="s">
        <v>256</v>
      </c>
      <c r="K52" s="9"/>
      <c r="L52" s="9"/>
    </row>
    <row r="53" customFormat="false" ht="15" hidden="false" customHeight="true" outlineLevel="0" collapsed="false">
      <c r="A53" s="8" t="s">
        <v>260</v>
      </c>
      <c r="B53" s="8" t="s">
        <v>261</v>
      </c>
      <c r="C53" s="9" t="s">
        <v>253</v>
      </c>
      <c r="D53" s="9" t="s">
        <v>96</v>
      </c>
      <c r="E53" s="9" t="s">
        <v>54</v>
      </c>
      <c r="F53" s="9"/>
      <c r="G53" s="9"/>
      <c r="H53" s="9"/>
      <c r="I53" s="9"/>
      <c r="J53" s="9" t="s">
        <v>258</v>
      </c>
      <c r="K53" s="9"/>
      <c r="L53" s="9"/>
    </row>
    <row r="54" customFormat="false" ht="15" hidden="false" customHeight="true" outlineLevel="0" collapsed="false">
      <c r="A54" s="8" t="s">
        <v>262</v>
      </c>
      <c r="B54" s="8" t="s">
        <v>263</v>
      </c>
      <c r="C54" s="9" t="s">
        <v>253</v>
      </c>
      <c r="D54" s="9" t="s">
        <v>96</v>
      </c>
      <c r="E54" s="9" t="s">
        <v>54</v>
      </c>
      <c r="F54" s="9"/>
      <c r="G54" s="9"/>
      <c r="H54" s="9"/>
      <c r="I54" s="9"/>
      <c r="J54" s="9" t="s">
        <v>260</v>
      </c>
      <c r="K54" s="9"/>
      <c r="L54" s="9"/>
    </row>
    <row r="55" customFormat="false" ht="15" hidden="false" customHeight="true" outlineLevel="0" collapsed="false">
      <c r="A55" s="8" t="s">
        <v>264</v>
      </c>
      <c r="B55" s="8" t="s">
        <v>265</v>
      </c>
      <c r="C55" s="9" t="s">
        <v>266</v>
      </c>
      <c r="D55" s="9" t="s">
        <v>77</v>
      </c>
      <c r="E55" s="9" t="s">
        <v>54</v>
      </c>
      <c r="F55" s="9"/>
      <c r="G55" s="9"/>
      <c r="H55" s="9"/>
      <c r="I55" s="9"/>
      <c r="J55" s="9" t="s">
        <v>258</v>
      </c>
      <c r="K55" s="9"/>
      <c r="L55" s="9"/>
    </row>
    <row r="56" customFormat="false" ht="15" hidden="false" customHeight="true" outlineLevel="0" collapsed="false">
      <c r="A56" s="8" t="s">
        <v>267</v>
      </c>
      <c r="B56" s="8" t="s">
        <v>268</v>
      </c>
      <c r="C56" s="9" t="s">
        <v>266</v>
      </c>
      <c r="D56" s="9" t="s">
        <v>77</v>
      </c>
      <c r="E56" s="9" t="s">
        <v>54</v>
      </c>
      <c r="F56" s="9"/>
      <c r="G56" s="9"/>
      <c r="H56" s="9"/>
      <c r="I56" s="9"/>
      <c r="J56" s="9" t="s">
        <v>264</v>
      </c>
      <c r="K56" s="9" t="s">
        <v>269</v>
      </c>
      <c r="L56" s="9"/>
    </row>
    <row r="57" customFormat="false" ht="15" hidden="false" customHeight="true" outlineLevel="0" collapsed="false">
      <c r="A57" s="8" t="s">
        <v>270</v>
      </c>
      <c r="B57" s="8" t="s">
        <v>271</v>
      </c>
      <c r="C57" s="9" t="s">
        <v>266</v>
      </c>
      <c r="D57" s="9" t="s">
        <v>96</v>
      </c>
      <c r="E57" s="9" t="s">
        <v>54</v>
      </c>
      <c r="F57" s="9"/>
      <c r="G57" s="9"/>
      <c r="H57" s="9"/>
      <c r="I57" s="9"/>
      <c r="J57" s="9" t="s">
        <v>267</v>
      </c>
      <c r="K57" s="9"/>
      <c r="L57" s="9"/>
    </row>
    <row r="58" customFormat="false" ht="15" hidden="false" customHeight="true" outlineLevel="0" collapsed="false">
      <c r="A58" s="8" t="s">
        <v>272</v>
      </c>
      <c r="B58" s="8" t="s">
        <v>273</v>
      </c>
      <c r="C58" s="9" t="s">
        <v>266</v>
      </c>
      <c r="D58" s="9" t="s">
        <v>77</v>
      </c>
      <c r="E58" s="9" t="s">
        <v>54</v>
      </c>
      <c r="F58" s="9"/>
      <c r="G58" s="9"/>
      <c r="H58" s="9"/>
      <c r="I58" s="9"/>
      <c r="J58" s="9" t="s">
        <v>267</v>
      </c>
      <c r="K58" s="9"/>
      <c r="L58" s="9"/>
    </row>
    <row r="59" customFormat="false" ht="15" hidden="false" customHeight="true" outlineLevel="0" collapsed="false">
      <c r="A59" s="8" t="s">
        <v>274</v>
      </c>
      <c r="B59" s="8" t="s">
        <v>275</v>
      </c>
      <c r="C59" s="9" t="s">
        <v>266</v>
      </c>
      <c r="D59" s="9" t="s">
        <v>96</v>
      </c>
      <c r="E59" s="9" t="s">
        <v>54</v>
      </c>
      <c r="F59" s="9"/>
      <c r="G59" s="9"/>
      <c r="H59" s="9"/>
      <c r="I59" s="9"/>
      <c r="J59" s="9" t="s">
        <v>272</v>
      </c>
      <c r="K59" s="9"/>
      <c r="L59" s="9"/>
    </row>
    <row r="60" customFormat="false" ht="15" hidden="false" customHeight="true" outlineLevel="0" collapsed="false">
      <c r="A60" s="8" t="s">
        <v>276</v>
      </c>
      <c r="B60" s="8" t="s">
        <v>277</v>
      </c>
      <c r="C60" s="9" t="s">
        <v>266</v>
      </c>
      <c r="D60" s="9" t="s">
        <v>96</v>
      </c>
      <c r="E60" s="9" t="s">
        <v>54</v>
      </c>
      <c r="F60" s="9"/>
      <c r="G60" s="9"/>
      <c r="H60" s="9"/>
      <c r="I60" s="9"/>
      <c r="J60" s="9" t="s">
        <v>274</v>
      </c>
      <c r="K60" s="9"/>
      <c r="L60" s="9"/>
    </row>
    <row r="61" customFormat="false" ht="15" hidden="false" customHeight="true" outlineLevel="0" collapsed="false">
      <c r="A61" s="8" t="s">
        <v>278</v>
      </c>
      <c r="B61" s="8" t="s">
        <v>279</v>
      </c>
      <c r="C61" s="9" t="s">
        <v>280</v>
      </c>
      <c r="D61" s="9" t="s">
        <v>77</v>
      </c>
      <c r="E61" s="9" t="s">
        <v>54</v>
      </c>
      <c r="F61" s="9"/>
      <c r="G61" s="9"/>
      <c r="H61" s="9"/>
      <c r="I61" s="9"/>
      <c r="J61" s="9" t="s">
        <v>201</v>
      </c>
      <c r="K61" s="9"/>
      <c r="L61" s="9"/>
    </row>
    <row r="62" customFormat="false" ht="15" hidden="false" customHeight="true" outlineLevel="0" collapsed="false">
      <c r="A62" s="8" t="s">
        <v>281</v>
      </c>
      <c r="B62" s="8" t="s">
        <v>282</v>
      </c>
      <c r="C62" s="9" t="s">
        <v>280</v>
      </c>
      <c r="D62" s="9" t="s">
        <v>77</v>
      </c>
      <c r="E62" s="9" t="s">
        <v>54</v>
      </c>
      <c r="F62" s="9"/>
      <c r="G62" s="9"/>
      <c r="H62" s="9"/>
      <c r="I62" s="9"/>
      <c r="J62" s="9" t="s">
        <v>278</v>
      </c>
      <c r="K62" s="9"/>
      <c r="L62" s="9"/>
    </row>
    <row r="63" customFormat="false" ht="15" hidden="false" customHeight="true" outlineLevel="0" collapsed="false">
      <c r="A63" s="8" t="s">
        <v>283</v>
      </c>
      <c r="B63" s="8" t="s">
        <v>284</v>
      </c>
      <c r="C63" s="9" t="s">
        <v>280</v>
      </c>
      <c r="D63" s="9" t="s">
        <v>77</v>
      </c>
      <c r="E63" s="9" t="s">
        <v>54</v>
      </c>
      <c r="F63" s="9"/>
      <c r="G63" s="9"/>
      <c r="H63" s="9"/>
      <c r="I63" s="9"/>
      <c r="J63" s="9" t="s">
        <v>281</v>
      </c>
      <c r="K63" s="9"/>
      <c r="L63" s="9"/>
    </row>
    <row r="64" customFormat="false" ht="15" hidden="false" customHeight="true" outlineLevel="0" collapsed="false">
      <c r="A64" s="8" t="s">
        <v>285</v>
      </c>
      <c r="B64" s="8" t="s">
        <v>286</v>
      </c>
      <c r="C64" s="9" t="s">
        <v>280</v>
      </c>
      <c r="D64" s="9" t="s">
        <v>77</v>
      </c>
      <c r="E64" s="9" t="s">
        <v>54</v>
      </c>
      <c r="F64" s="9"/>
      <c r="G64" s="9"/>
      <c r="H64" s="9"/>
      <c r="I64" s="9"/>
      <c r="J64" s="9" t="s">
        <v>283</v>
      </c>
      <c r="K64" s="9"/>
      <c r="L64" s="9"/>
    </row>
    <row r="65" customFormat="false" ht="15" hidden="false" customHeight="true" outlineLevel="0" collapsed="false">
      <c r="A65" s="8" t="s">
        <v>287</v>
      </c>
      <c r="B65" s="8" t="s">
        <v>288</v>
      </c>
      <c r="C65" s="9" t="s">
        <v>280</v>
      </c>
      <c r="D65" s="9" t="s">
        <v>77</v>
      </c>
      <c r="E65" s="9" t="s">
        <v>54</v>
      </c>
      <c r="F65" s="9"/>
      <c r="G65" s="9"/>
      <c r="H65" s="9"/>
      <c r="I65" s="9"/>
      <c r="J65" s="9" t="s">
        <v>285</v>
      </c>
      <c r="K65" s="9"/>
      <c r="L65" s="9"/>
    </row>
    <row r="66" customFormat="false" ht="15" hidden="false" customHeight="true" outlineLevel="0" collapsed="false">
      <c r="A66" s="8" t="s">
        <v>289</v>
      </c>
      <c r="B66" s="8" t="s">
        <v>290</v>
      </c>
      <c r="C66" s="9" t="s">
        <v>280</v>
      </c>
      <c r="D66" s="9" t="s">
        <v>96</v>
      </c>
      <c r="E66" s="9" t="s">
        <v>54</v>
      </c>
      <c r="F66" s="9"/>
      <c r="G66" s="9"/>
      <c r="H66" s="9"/>
      <c r="I66" s="9"/>
      <c r="J66" s="9" t="s">
        <v>287</v>
      </c>
      <c r="K66" s="9"/>
      <c r="L66" s="9"/>
    </row>
    <row r="67" customFormat="false" ht="15" hidden="false" customHeight="true" outlineLevel="0" collapsed="false">
      <c r="A67" s="8" t="s">
        <v>291</v>
      </c>
      <c r="B67" s="8" t="s">
        <v>292</v>
      </c>
      <c r="C67" s="9" t="s">
        <v>293</v>
      </c>
      <c r="D67" s="9" t="s">
        <v>77</v>
      </c>
      <c r="E67" s="9" t="s">
        <v>54</v>
      </c>
      <c r="F67" s="9"/>
      <c r="G67" s="9"/>
      <c r="H67" s="9"/>
      <c r="I67" s="9"/>
      <c r="J67" s="9" t="s">
        <v>287</v>
      </c>
      <c r="K67" s="9"/>
      <c r="L67" s="9"/>
    </row>
    <row r="68" customFormat="false" ht="15" hidden="false" customHeight="true" outlineLevel="0" collapsed="false">
      <c r="A68" s="8" t="s">
        <v>294</v>
      </c>
      <c r="B68" s="8" t="s">
        <v>295</v>
      </c>
      <c r="C68" s="9" t="s">
        <v>293</v>
      </c>
      <c r="D68" s="9" t="s">
        <v>77</v>
      </c>
      <c r="E68" s="9" t="s">
        <v>54</v>
      </c>
      <c r="F68" s="9"/>
      <c r="G68" s="9"/>
      <c r="H68" s="9"/>
      <c r="I68" s="9"/>
      <c r="J68" s="9" t="s">
        <v>291</v>
      </c>
      <c r="K68" s="9"/>
      <c r="L68" s="9"/>
    </row>
    <row r="69" customFormat="false" ht="15" hidden="false" customHeight="true" outlineLevel="0" collapsed="false">
      <c r="A69" s="8" t="s">
        <v>296</v>
      </c>
      <c r="B69" s="8" t="s">
        <v>297</v>
      </c>
      <c r="C69" s="9" t="s">
        <v>293</v>
      </c>
      <c r="D69" s="9" t="s">
        <v>77</v>
      </c>
      <c r="E69" s="9" t="s">
        <v>54</v>
      </c>
      <c r="F69" s="9"/>
      <c r="G69" s="9"/>
      <c r="H69" s="9"/>
      <c r="I69" s="9"/>
      <c r="J69" s="9" t="s">
        <v>294</v>
      </c>
      <c r="K69" s="9"/>
      <c r="L69" s="9"/>
    </row>
    <row r="70" customFormat="false" ht="15" hidden="false" customHeight="true" outlineLevel="0" collapsed="false">
      <c r="A70" s="8" t="s">
        <v>298</v>
      </c>
      <c r="B70" s="8" t="s">
        <v>299</v>
      </c>
      <c r="C70" s="9" t="s">
        <v>293</v>
      </c>
      <c r="D70" s="9" t="s">
        <v>77</v>
      </c>
      <c r="E70" s="9" t="s">
        <v>54</v>
      </c>
      <c r="F70" s="9"/>
      <c r="G70" s="9"/>
      <c r="H70" s="9"/>
      <c r="I70" s="9"/>
      <c r="J70" s="9" t="s">
        <v>296</v>
      </c>
      <c r="K70" s="9"/>
      <c r="L70" s="9"/>
    </row>
    <row r="71" customFormat="false" ht="15" hidden="false" customHeight="true" outlineLevel="0" collapsed="false">
      <c r="A71" s="8" t="s">
        <v>300</v>
      </c>
      <c r="B71" s="8" t="s">
        <v>301</v>
      </c>
      <c r="C71" s="9" t="s">
        <v>293</v>
      </c>
      <c r="D71" s="9" t="s">
        <v>96</v>
      </c>
      <c r="E71" s="9" t="s">
        <v>54</v>
      </c>
      <c r="F71" s="9"/>
      <c r="G71" s="9"/>
      <c r="H71" s="9"/>
      <c r="I71" s="9"/>
      <c r="J71" s="9" t="s">
        <v>298</v>
      </c>
      <c r="K71" s="9"/>
      <c r="L71" s="9"/>
    </row>
    <row r="72" customFormat="false" ht="15" hidden="false" customHeight="true" outlineLevel="0" collapsed="false">
      <c r="A72" s="8" t="s">
        <v>302</v>
      </c>
      <c r="B72" s="8" t="s">
        <v>303</v>
      </c>
      <c r="C72" s="9" t="s">
        <v>304</v>
      </c>
      <c r="D72" s="9" t="s">
        <v>77</v>
      </c>
      <c r="E72" s="9" t="s">
        <v>54</v>
      </c>
      <c r="F72" s="9"/>
      <c r="G72" s="9"/>
      <c r="H72" s="9"/>
      <c r="I72" s="9"/>
      <c r="J72" s="9" t="s">
        <v>298</v>
      </c>
      <c r="K72" s="9"/>
      <c r="L72" s="9"/>
    </row>
    <row r="73" customFormat="false" ht="15" hidden="false" customHeight="true" outlineLevel="0" collapsed="false">
      <c r="A73" s="8" t="s">
        <v>305</v>
      </c>
      <c r="B73" s="8" t="s">
        <v>306</v>
      </c>
      <c r="C73" s="9" t="s">
        <v>304</v>
      </c>
      <c r="D73" s="9" t="s">
        <v>77</v>
      </c>
      <c r="E73" s="9" t="s">
        <v>54</v>
      </c>
      <c r="F73" s="9"/>
      <c r="G73" s="9"/>
      <c r="H73" s="9"/>
      <c r="I73" s="9"/>
      <c r="J73" s="9" t="s">
        <v>302</v>
      </c>
      <c r="K73" s="9"/>
      <c r="L73" s="9"/>
    </row>
    <row r="74" customFormat="false" ht="15" hidden="false" customHeight="true" outlineLevel="0" collapsed="false">
      <c r="A74" s="8" t="s">
        <v>307</v>
      </c>
      <c r="B74" s="8" t="s">
        <v>308</v>
      </c>
      <c r="C74" s="9" t="s">
        <v>304</v>
      </c>
      <c r="D74" s="9" t="s">
        <v>77</v>
      </c>
      <c r="E74" s="9" t="s">
        <v>54</v>
      </c>
      <c r="F74" s="9"/>
      <c r="G74" s="9"/>
      <c r="H74" s="9"/>
      <c r="I74" s="9"/>
      <c r="J74" s="9" t="s">
        <v>305</v>
      </c>
      <c r="K74" s="9"/>
      <c r="L74" s="9"/>
    </row>
    <row r="75" customFormat="false" ht="15" hidden="false" customHeight="true" outlineLevel="0" collapsed="false">
      <c r="A75" s="8" t="s">
        <v>309</v>
      </c>
      <c r="B75" s="8" t="s">
        <v>310</v>
      </c>
      <c r="C75" s="9" t="s">
        <v>304</v>
      </c>
      <c r="D75" s="9" t="s">
        <v>77</v>
      </c>
      <c r="E75" s="9" t="s">
        <v>54</v>
      </c>
      <c r="F75" s="9"/>
      <c r="G75" s="9"/>
      <c r="H75" s="9"/>
      <c r="I75" s="9"/>
      <c r="J75" s="9" t="s">
        <v>307</v>
      </c>
      <c r="K75" s="9"/>
      <c r="L75" s="9"/>
    </row>
    <row r="76" customFormat="false" ht="15" hidden="false" customHeight="true" outlineLevel="0" collapsed="false">
      <c r="A76" s="8" t="s">
        <v>311</v>
      </c>
      <c r="B76" s="8" t="s">
        <v>312</v>
      </c>
      <c r="C76" s="9" t="s">
        <v>304</v>
      </c>
      <c r="D76" s="9" t="s">
        <v>77</v>
      </c>
      <c r="E76" s="9" t="s">
        <v>54</v>
      </c>
      <c r="F76" s="9"/>
      <c r="G76" s="9"/>
      <c r="H76" s="9"/>
      <c r="I76" s="9"/>
      <c r="J76" s="9" t="s">
        <v>309</v>
      </c>
      <c r="K76" s="9"/>
      <c r="L76" s="9"/>
    </row>
    <row r="77" customFormat="false" ht="15" hidden="false" customHeight="true" outlineLevel="0" collapsed="false">
      <c r="A77" s="8" t="s">
        <v>313</v>
      </c>
      <c r="B77" s="8" t="s">
        <v>314</v>
      </c>
      <c r="C77" s="9" t="s">
        <v>304</v>
      </c>
      <c r="D77" s="9" t="s">
        <v>96</v>
      </c>
      <c r="E77" s="9" t="s">
        <v>54</v>
      </c>
      <c r="F77" s="9"/>
      <c r="G77" s="9"/>
      <c r="H77" s="9"/>
      <c r="I77" s="9"/>
      <c r="J77" s="9" t="s">
        <v>311</v>
      </c>
      <c r="K77" s="9"/>
      <c r="L77" s="9"/>
    </row>
    <row r="78" customFormat="false" ht="15" hidden="false" customHeight="true" outlineLevel="0" collapsed="false">
      <c r="A78" s="8" t="s">
        <v>315</v>
      </c>
      <c r="B78" s="8" t="s">
        <v>316</v>
      </c>
      <c r="C78" s="9" t="s">
        <v>304</v>
      </c>
      <c r="D78" s="9" t="s">
        <v>96</v>
      </c>
      <c r="E78" s="9" t="s">
        <v>54</v>
      </c>
      <c r="F78" s="9"/>
      <c r="G78" s="9"/>
      <c r="H78" s="9"/>
      <c r="I78" s="9"/>
      <c r="J78" s="9" t="s">
        <v>311</v>
      </c>
      <c r="K78" s="9"/>
      <c r="L78" s="9"/>
    </row>
    <row r="79" customFormat="false" ht="15" hidden="false" customHeight="true" outlineLevel="0" collapsed="false">
      <c r="A79" s="8" t="s">
        <v>317</v>
      </c>
      <c r="B79" s="8" t="s">
        <v>318</v>
      </c>
      <c r="C79" s="9" t="s">
        <v>319</v>
      </c>
      <c r="D79" s="9" t="s">
        <v>77</v>
      </c>
      <c r="E79" s="9" t="s">
        <v>54</v>
      </c>
      <c r="F79" s="9"/>
      <c r="G79" s="9"/>
      <c r="H79" s="9"/>
      <c r="I79" s="9"/>
      <c r="J79" s="9" t="s">
        <v>258</v>
      </c>
      <c r="K79" s="9"/>
      <c r="L79" s="9"/>
    </row>
    <row r="80" customFormat="false" ht="15" hidden="false" customHeight="true" outlineLevel="0" collapsed="false">
      <c r="A80" s="8" t="s">
        <v>320</v>
      </c>
      <c r="B80" s="8" t="s">
        <v>321</v>
      </c>
      <c r="C80" s="9" t="s">
        <v>319</v>
      </c>
      <c r="D80" s="9" t="s">
        <v>77</v>
      </c>
      <c r="E80" s="9" t="s">
        <v>54</v>
      </c>
      <c r="F80" s="9"/>
      <c r="G80" s="9"/>
      <c r="H80" s="9"/>
      <c r="I80" s="9"/>
      <c r="J80" s="9" t="s">
        <v>317</v>
      </c>
      <c r="K80" s="9"/>
      <c r="L80" s="9"/>
    </row>
    <row r="81" customFormat="false" ht="15" hidden="false" customHeight="true" outlineLevel="0" collapsed="false">
      <c r="A81" s="8" t="s">
        <v>322</v>
      </c>
      <c r="B81" s="8" t="s">
        <v>323</v>
      </c>
      <c r="C81" s="9" t="s">
        <v>319</v>
      </c>
      <c r="D81" s="9" t="s">
        <v>77</v>
      </c>
      <c r="E81" s="9" t="s">
        <v>54</v>
      </c>
      <c r="F81" s="9"/>
      <c r="G81" s="9"/>
      <c r="H81" s="9"/>
      <c r="I81" s="9"/>
      <c r="J81" s="9" t="s">
        <v>320</v>
      </c>
      <c r="K81" s="9" t="s">
        <v>324</v>
      </c>
      <c r="L81" s="9"/>
    </row>
    <row r="82" customFormat="false" ht="15" hidden="false" customHeight="true" outlineLevel="0" collapsed="false">
      <c r="A82" s="8" t="s">
        <v>325</v>
      </c>
      <c r="B82" s="8" t="s">
        <v>326</v>
      </c>
      <c r="C82" s="9" t="s">
        <v>319</v>
      </c>
      <c r="D82" s="9" t="s">
        <v>96</v>
      </c>
      <c r="E82" s="9" t="s">
        <v>54</v>
      </c>
      <c r="F82" s="9"/>
      <c r="G82" s="9"/>
      <c r="H82" s="9"/>
      <c r="I82" s="9"/>
      <c r="J82" s="9" t="s">
        <v>322</v>
      </c>
      <c r="K82" s="9"/>
      <c r="L82" s="9"/>
    </row>
    <row r="83" customFormat="false" ht="15" hidden="false" customHeight="true" outlineLevel="0" collapsed="false">
      <c r="A83" s="8" t="s">
        <v>327</v>
      </c>
      <c r="B83" s="8" t="s">
        <v>328</v>
      </c>
      <c r="C83" s="9" t="s">
        <v>319</v>
      </c>
      <c r="D83" s="9" t="s">
        <v>77</v>
      </c>
      <c r="E83" s="9" t="s">
        <v>54</v>
      </c>
      <c r="F83" s="9"/>
      <c r="G83" s="9"/>
      <c r="H83" s="9"/>
      <c r="I83" s="9"/>
      <c r="J83" s="9" t="s">
        <v>325</v>
      </c>
      <c r="K83" s="9" t="s">
        <v>329</v>
      </c>
      <c r="L83" s="9"/>
    </row>
    <row r="84" customFormat="false" ht="15" hidden="false" customHeight="true" outlineLevel="0" collapsed="false">
      <c r="A84" s="8" t="s">
        <v>330</v>
      </c>
      <c r="B84" s="8" t="s">
        <v>331</v>
      </c>
      <c r="C84" s="9" t="s">
        <v>332</v>
      </c>
      <c r="D84" s="9" t="s">
        <v>77</v>
      </c>
      <c r="E84" s="9" t="s">
        <v>54</v>
      </c>
      <c r="F84" s="9"/>
      <c r="G84" s="9"/>
      <c r="H84" s="9"/>
      <c r="I84" s="9"/>
      <c r="J84" s="9" t="s">
        <v>327</v>
      </c>
      <c r="K84" s="9"/>
      <c r="L84" s="9"/>
    </row>
    <row r="85" customFormat="false" ht="15" hidden="false" customHeight="true" outlineLevel="0" collapsed="false">
      <c r="A85" s="8" t="s">
        <v>333</v>
      </c>
      <c r="B85" s="8" t="s">
        <v>334</v>
      </c>
      <c r="C85" s="9" t="s">
        <v>332</v>
      </c>
      <c r="D85" s="9" t="s">
        <v>77</v>
      </c>
      <c r="E85" s="9" t="s">
        <v>54</v>
      </c>
      <c r="F85" s="9"/>
      <c r="G85" s="9"/>
      <c r="H85" s="9"/>
      <c r="I85" s="9"/>
      <c r="J85" s="9" t="s">
        <v>330</v>
      </c>
      <c r="K85" s="9" t="s">
        <v>335</v>
      </c>
      <c r="L85" s="9"/>
    </row>
    <row r="86" customFormat="false" ht="15" hidden="false" customHeight="true" outlineLevel="0" collapsed="false">
      <c r="A86" s="8" t="s">
        <v>336</v>
      </c>
      <c r="B86" s="8" t="s">
        <v>337</v>
      </c>
      <c r="C86" s="9" t="s">
        <v>332</v>
      </c>
      <c r="D86" s="9" t="s">
        <v>77</v>
      </c>
      <c r="E86" s="9" t="s">
        <v>54</v>
      </c>
      <c r="F86" s="9"/>
      <c r="G86" s="9"/>
      <c r="H86" s="9"/>
      <c r="I86" s="9"/>
      <c r="J86" s="9" t="s">
        <v>333</v>
      </c>
      <c r="K86" s="9" t="s">
        <v>338</v>
      </c>
      <c r="L86" s="9"/>
    </row>
    <row r="87" customFormat="false" ht="15" hidden="false" customHeight="true" outlineLevel="0" collapsed="false">
      <c r="A87" s="8" t="s">
        <v>339</v>
      </c>
      <c r="B87" s="8" t="s">
        <v>340</v>
      </c>
      <c r="C87" s="9" t="s">
        <v>332</v>
      </c>
      <c r="D87" s="9" t="s">
        <v>77</v>
      </c>
      <c r="E87" s="9" t="s">
        <v>54</v>
      </c>
      <c r="F87" s="9"/>
      <c r="G87" s="9"/>
      <c r="H87" s="9"/>
      <c r="I87" s="9"/>
      <c r="J87" s="9" t="s">
        <v>336</v>
      </c>
      <c r="K87" s="9"/>
      <c r="L87" s="9"/>
    </row>
    <row r="88" customFormat="false" ht="15" hidden="false" customHeight="true" outlineLevel="0" collapsed="false">
      <c r="A88" s="8" t="s">
        <v>341</v>
      </c>
      <c r="B88" s="8" t="s">
        <v>342</v>
      </c>
      <c r="C88" s="9" t="s">
        <v>332</v>
      </c>
      <c r="D88" s="9" t="s">
        <v>96</v>
      </c>
      <c r="E88" s="9" t="s">
        <v>54</v>
      </c>
      <c r="F88" s="9"/>
      <c r="G88" s="9"/>
      <c r="H88" s="9"/>
      <c r="I88" s="9"/>
      <c r="J88" s="9" t="s">
        <v>339</v>
      </c>
      <c r="K88" s="9"/>
      <c r="L88" s="9"/>
    </row>
    <row r="89" customFormat="false" ht="15" hidden="false" customHeight="true" outlineLevel="0" collapsed="false">
      <c r="A89" s="8" t="s">
        <v>343</v>
      </c>
      <c r="B89" s="8" t="s">
        <v>344</v>
      </c>
      <c r="C89" s="9" t="s">
        <v>345</v>
      </c>
      <c r="D89" s="9" t="s">
        <v>77</v>
      </c>
      <c r="E89" s="9" t="s">
        <v>54</v>
      </c>
      <c r="F89" s="9"/>
      <c r="G89" s="9"/>
      <c r="H89" s="9"/>
      <c r="I89" s="9"/>
      <c r="J89" s="9" t="s">
        <v>341</v>
      </c>
      <c r="K89" s="9"/>
      <c r="L89" s="9"/>
    </row>
    <row r="90" customFormat="false" ht="15" hidden="false" customHeight="true" outlineLevel="0" collapsed="false">
      <c r="A90" s="8" t="s">
        <v>346</v>
      </c>
      <c r="B90" s="8" t="s">
        <v>347</v>
      </c>
      <c r="C90" s="9" t="s">
        <v>345</v>
      </c>
      <c r="D90" s="9" t="s">
        <v>77</v>
      </c>
      <c r="E90" s="9" t="s">
        <v>54</v>
      </c>
      <c r="F90" s="9"/>
      <c r="G90" s="9"/>
      <c r="H90" s="9"/>
      <c r="I90" s="9"/>
      <c r="J90" s="9" t="s">
        <v>343</v>
      </c>
      <c r="K90" s="9"/>
      <c r="L90" s="9"/>
    </row>
    <row r="91" customFormat="false" ht="15" hidden="false" customHeight="true" outlineLevel="0" collapsed="false">
      <c r="A91" s="8" t="s">
        <v>348</v>
      </c>
      <c r="B91" s="8" t="s">
        <v>349</v>
      </c>
      <c r="C91" s="9" t="s">
        <v>345</v>
      </c>
      <c r="D91" s="9" t="s">
        <v>77</v>
      </c>
      <c r="E91" s="9" t="s">
        <v>54</v>
      </c>
      <c r="F91" s="9"/>
      <c r="G91" s="9"/>
      <c r="H91" s="9"/>
      <c r="I91" s="9"/>
      <c r="J91" s="9" t="s">
        <v>346</v>
      </c>
      <c r="K91" s="9" t="s">
        <v>350</v>
      </c>
      <c r="L91" s="9"/>
    </row>
    <row r="92" customFormat="false" ht="15" hidden="false" customHeight="true" outlineLevel="0" collapsed="false">
      <c r="A92" s="8" t="s">
        <v>351</v>
      </c>
      <c r="B92" s="8" t="s">
        <v>352</v>
      </c>
      <c r="C92" s="9" t="s">
        <v>353</v>
      </c>
      <c r="D92" s="9" t="s">
        <v>96</v>
      </c>
      <c r="E92" s="9" t="s">
        <v>54</v>
      </c>
      <c r="F92" s="9"/>
      <c r="G92" s="9"/>
      <c r="H92" s="9"/>
      <c r="I92" s="9"/>
      <c r="J92" s="9" t="s">
        <v>348</v>
      </c>
      <c r="K92" s="9"/>
      <c r="L92" s="9"/>
    </row>
    <row r="93" customFormat="false" ht="15" hidden="false" customHeight="true" outlineLevel="0" collapsed="false">
      <c r="A93" s="8" t="s">
        <v>354</v>
      </c>
      <c r="B93" s="8" t="s">
        <v>355</v>
      </c>
      <c r="C93" s="9" t="s">
        <v>353</v>
      </c>
      <c r="D93" s="9" t="s">
        <v>96</v>
      </c>
      <c r="E93" s="9" t="s">
        <v>54</v>
      </c>
      <c r="F93" s="9"/>
      <c r="G93" s="9"/>
      <c r="H93" s="9"/>
      <c r="I93" s="9"/>
      <c r="J93" s="9" t="s">
        <v>351</v>
      </c>
      <c r="K93" s="9"/>
      <c r="L93" s="9"/>
    </row>
    <row r="94" customFormat="false" ht="15" hidden="false" customHeight="true" outlineLevel="0" collapsed="false">
      <c r="A94" s="8" t="s">
        <v>356</v>
      </c>
      <c r="B94" s="8" t="s">
        <v>357</v>
      </c>
      <c r="C94" s="9" t="s">
        <v>358</v>
      </c>
      <c r="D94" s="9" t="s">
        <v>77</v>
      </c>
      <c r="E94" s="9" t="s">
        <v>54</v>
      </c>
      <c r="F94" s="9"/>
      <c r="G94" s="9"/>
      <c r="H94" s="9"/>
      <c r="I94" s="9"/>
      <c r="J94" s="9" t="s">
        <v>354</v>
      </c>
      <c r="K94" s="9"/>
      <c r="L94" s="9"/>
    </row>
    <row r="95" customFormat="false" ht="15" hidden="false" customHeight="true" outlineLevel="0" collapsed="false">
      <c r="A95" s="8" t="s">
        <v>359</v>
      </c>
      <c r="B95" s="8" t="s">
        <v>360</v>
      </c>
      <c r="C95" s="9" t="s">
        <v>358</v>
      </c>
      <c r="D95" s="9" t="s">
        <v>77</v>
      </c>
      <c r="E95" s="9" t="s">
        <v>54</v>
      </c>
      <c r="F95" s="9"/>
      <c r="G95" s="9"/>
      <c r="H95" s="9"/>
      <c r="I95" s="9"/>
      <c r="J95" s="9" t="s">
        <v>356</v>
      </c>
      <c r="K95" s="9"/>
      <c r="L95" s="9"/>
    </row>
    <row r="96" customFormat="false" ht="15" hidden="false" customHeight="true" outlineLevel="0" collapsed="false">
      <c r="A96" s="8" t="s">
        <v>361</v>
      </c>
      <c r="B96" s="8" t="s">
        <v>362</v>
      </c>
      <c r="C96" s="9" t="s">
        <v>358</v>
      </c>
      <c r="D96" s="9" t="s">
        <v>77</v>
      </c>
      <c r="E96" s="9" t="s">
        <v>54</v>
      </c>
      <c r="F96" s="9"/>
      <c r="G96" s="9"/>
      <c r="H96" s="9"/>
      <c r="I96" s="9"/>
      <c r="J96" s="9" t="s">
        <v>359</v>
      </c>
      <c r="K96" s="9"/>
      <c r="L96" s="9"/>
    </row>
    <row r="97" customFormat="false" ht="15" hidden="false" customHeight="true" outlineLevel="0" collapsed="false">
      <c r="A97" s="8" t="s">
        <v>363</v>
      </c>
      <c r="B97" s="8" t="s">
        <v>364</v>
      </c>
      <c r="C97" s="9" t="s">
        <v>358</v>
      </c>
      <c r="D97" s="9" t="s">
        <v>77</v>
      </c>
      <c r="E97" s="9" t="s">
        <v>54</v>
      </c>
      <c r="F97" s="9"/>
      <c r="G97" s="9"/>
      <c r="H97" s="9"/>
      <c r="I97" s="9"/>
      <c r="J97" s="9" t="s">
        <v>361</v>
      </c>
      <c r="K97" s="9"/>
      <c r="L97" s="9"/>
    </row>
    <row r="98" customFormat="false" ht="15" hidden="false" customHeight="true" outlineLevel="0" collapsed="false">
      <c r="A98" s="8" t="s">
        <v>365</v>
      </c>
      <c r="B98" s="8" t="s">
        <v>366</v>
      </c>
      <c r="C98" s="9" t="s">
        <v>367</v>
      </c>
      <c r="D98" s="9" t="s">
        <v>77</v>
      </c>
      <c r="E98" s="9" t="s">
        <v>54</v>
      </c>
      <c r="F98" s="9"/>
      <c r="G98" s="9"/>
      <c r="H98" s="9"/>
      <c r="I98" s="9"/>
      <c r="J98" s="9" t="s">
        <v>363</v>
      </c>
      <c r="K98" s="9"/>
      <c r="L98" s="9"/>
    </row>
    <row r="99" customFormat="false" ht="15" hidden="false" customHeight="true" outlineLevel="0" collapsed="false">
      <c r="A99" s="8" t="s">
        <v>368</v>
      </c>
      <c r="B99" s="8" t="s">
        <v>369</v>
      </c>
      <c r="C99" s="9" t="s">
        <v>367</v>
      </c>
      <c r="D99" s="9" t="s">
        <v>77</v>
      </c>
      <c r="E99" s="9" t="s">
        <v>54</v>
      </c>
      <c r="F99" s="9"/>
      <c r="G99" s="9"/>
      <c r="H99" s="9"/>
      <c r="I99" s="9"/>
      <c r="J99" s="9" t="s">
        <v>365</v>
      </c>
      <c r="K99" s="9" t="s">
        <v>370</v>
      </c>
      <c r="L99" s="9"/>
    </row>
    <row r="100" customFormat="false" ht="15" hidden="false" customHeight="true" outlineLevel="0" collapsed="false">
      <c r="A100" s="8" t="s">
        <v>371</v>
      </c>
      <c r="B100" s="8" t="s">
        <v>372</v>
      </c>
      <c r="C100" s="9" t="s">
        <v>373</v>
      </c>
      <c r="D100" s="9" t="s">
        <v>96</v>
      </c>
      <c r="E100" s="9" t="s">
        <v>54</v>
      </c>
      <c r="F100" s="9"/>
      <c r="G100" s="9"/>
      <c r="H100" s="9"/>
      <c r="I100" s="9"/>
      <c r="J100" s="9" t="s">
        <v>368</v>
      </c>
      <c r="K100" s="9"/>
      <c r="L100" s="9"/>
    </row>
    <row r="101" customFormat="false" ht="15" hidden="false" customHeight="true" outlineLevel="0" collapsed="false">
      <c r="A101" s="8" t="s">
        <v>374</v>
      </c>
      <c r="B101" s="8" t="s">
        <v>375</v>
      </c>
      <c r="C101" s="9" t="s">
        <v>376</v>
      </c>
      <c r="D101" s="9" t="s">
        <v>77</v>
      </c>
      <c r="E101" s="9" t="s">
        <v>54</v>
      </c>
      <c r="F101" s="9"/>
      <c r="G101" s="9"/>
      <c r="H101" s="9"/>
      <c r="I101" s="9"/>
      <c r="J101" s="9" t="s">
        <v>371</v>
      </c>
      <c r="K101" s="9"/>
      <c r="L101" s="9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5" min="4" style="1" width="8"/>
    <col collapsed="false" customWidth="true" hidden="false" outlineLevel="0" max="10" min="6" style="1" width="12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9.5" hidden="false" customHeight="true" outlineLevel="0" collapsed="false">
      <c r="A1" s="23" t="s">
        <v>377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26.25" hidden="false" customHeight="true" outlineLevel="0" collapsed="false">
      <c r="A2" s="7" t="s">
        <v>63</v>
      </c>
      <c r="B2" s="7" t="s">
        <v>64</v>
      </c>
      <c r="C2" s="7" t="s">
        <v>65</v>
      </c>
      <c r="D2" s="7" t="s">
        <v>66</v>
      </c>
      <c r="E2" s="7" t="s">
        <v>22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 t="s">
        <v>73</v>
      </c>
    </row>
    <row r="3" customFormat="false" ht="15" hidden="false" customHeight="true" outlineLevel="0" collapsed="false">
      <c r="A3" s="8" t="s">
        <v>378</v>
      </c>
      <c r="B3" s="8" t="s">
        <v>379</v>
      </c>
      <c r="C3" s="9" t="s">
        <v>380</v>
      </c>
      <c r="D3" s="9" t="s">
        <v>77</v>
      </c>
      <c r="E3" s="9" t="s">
        <v>54</v>
      </c>
      <c r="F3" s="9"/>
      <c r="G3" s="9"/>
      <c r="H3" s="9"/>
      <c r="I3" s="9"/>
      <c r="J3" s="9" t="s">
        <v>78</v>
      </c>
      <c r="K3" s="9"/>
      <c r="L3" s="9"/>
    </row>
    <row r="4" customFormat="false" ht="15" hidden="false" customHeight="true" outlineLevel="0" collapsed="false">
      <c r="A4" s="8" t="s">
        <v>381</v>
      </c>
      <c r="B4" s="8" t="s">
        <v>382</v>
      </c>
      <c r="C4" s="9" t="s">
        <v>380</v>
      </c>
      <c r="D4" s="9" t="s">
        <v>77</v>
      </c>
      <c r="E4" s="9" t="s">
        <v>54</v>
      </c>
      <c r="F4" s="9"/>
      <c r="G4" s="9"/>
      <c r="H4" s="9"/>
      <c r="I4" s="9"/>
      <c r="J4" s="9" t="s">
        <v>378</v>
      </c>
      <c r="K4" s="9"/>
      <c r="L4" s="9"/>
    </row>
    <row r="5" customFormat="false" ht="15" hidden="false" customHeight="true" outlineLevel="0" collapsed="false">
      <c r="A5" s="8" t="s">
        <v>383</v>
      </c>
      <c r="B5" s="8" t="s">
        <v>384</v>
      </c>
      <c r="C5" s="9" t="s">
        <v>380</v>
      </c>
      <c r="D5" s="9" t="s">
        <v>77</v>
      </c>
      <c r="E5" s="9" t="s">
        <v>54</v>
      </c>
      <c r="F5" s="9"/>
      <c r="G5" s="9"/>
      <c r="H5" s="9"/>
      <c r="I5" s="9"/>
      <c r="J5" s="9" t="s">
        <v>381</v>
      </c>
      <c r="K5" s="9"/>
      <c r="L5" s="9"/>
    </row>
    <row r="6" customFormat="false" ht="15" hidden="false" customHeight="true" outlineLevel="0" collapsed="false">
      <c r="A6" s="8" t="s">
        <v>385</v>
      </c>
      <c r="B6" s="8" t="s">
        <v>386</v>
      </c>
      <c r="C6" s="9" t="s">
        <v>380</v>
      </c>
      <c r="D6" s="9" t="s">
        <v>77</v>
      </c>
      <c r="E6" s="9" t="s">
        <v>54</v>
      </c>
      <c r="F6" s="9"/>
      <c r="G6" s="9"/>
      <c r="H6" s="9"/>
      <c r="I6" s="9"/>
      <c r="J6" s="9" t="s">
        <v>383</v>
      </c>
      <c r="K6" s="9"/>
      <c r="L6" s="9"/>
    </row>
    <row r="7" customFormat="false" ht="15" hidden="false" customHeight="true" outlineLevel="0" collapsed="false">
      <c r="A7" s="8" t="s">
        <v>387</v>
      </c>
      <c r="B7" s="8" t="s">
        <v>388</v>
      </c>
      <c r="C7" s="9" t="s">
        <v>380</v>
      </c>
      <c r="D7" s="9" t="s">
        <v>77</v>
      </c>
      <c r="E7" s="9" t="s">
        <v>54</v>
      </c>
      <c r="F7" s="9"/>
      <c r="G7" s="9"/>
      <c r="H7" s="9"/>
      <c r="I7" s="9"/>
      <c r="J7" s="9" t="s">
        <v>383</v>
      </c>
      <c r="K7" s="9"/>
      <c r="L7" s="9"/>
    </row>
    <row r="8" customFormat="false" ht="15" hidden="false" customHeight="true" outlineLevel="0" collapsed="false">
      <c r="A8" s="8" t="s">
        <v>389</v>
      </c>
      <c r="B8" s="8" t="s">
        <v>390</v>
      </c>
      <c r="C8" s="9" t="s">
        <v>380</v>
      </c>
      <c r="D8" s="9" t="s">
        <v>77</v>
      </c>
      <c r="E8" s="9" t="s">
        <v>54</v>
      </c>
      <c r="F8" s="9"/>
      <c r="G8" s="9"/>
      <c r="H8" s="9"/>
      <c r="I8" s="9"/>
      <c r="J8" s="9" t="s">
        <v>385</v>
      </c>
      <c r="K8" s="9"/>
      <c r="L8" s="9"/>
    </row>
    <row r="9" customFormat="false" ht="15" hidden="false" customHeight="true" outlineLevel="0" collapsed="false">
      <c r="A9" s="8" t="s">
        <v>391</v>
      </c>
      <c r="B9" s="8" t="s">
        <v>392</v>
      </c>
      <c r="C9" s="9" t="s">
        <v>380</v>
      </c>
      <c r="D9" s="9" t="s">
        <v>77</v>
      </c>
      <c r="E9" s="9" t="s">
        <v>54</v>
      </c>
      <c r="F9" s="9"/>
      <c r="G9" s="9"/>
      <c r="H9" s="9"/>
      <c r="I9" s="9"/>
      <c r="J9" s="9" t="s">
        <v>387</v>
      </c>
      <c r="K9" s="9"/>
      <c r="L9" s="9"/>
    </row>
    <row r="10" customFormat="false" ht="15" hidden="false" customHeight="true" outlineLevel="0" collapsed="false">
      <c r="A10" s="8" t="s">
        <v>393</v>
      </c>
      <c r="B10" s="8" t="s">
        <v>394</v>
      </c>
      <c r="C10" s="9" t="s">
        <v>380</v>
      </c>
      <c r="D10" s="9" t="s">
        <v>77</v>
      </c>
      <c r="E10" s="9" t="s">
        <v>54</v>
      </c>
      <c r="F10" s="9"/>
      <c r="G10" s="9"/>
      <c r="H10" s="9"/>
      <c r="I10" s="9"/>
      <c r="J10" s="9" t="s">
        <v>389</v>
      </c>
      <c r="K10" s="9"/>
      <c r="L10" s="9"/>
    </row>
    <row r="11" customFormat="false" ht="15" hidden="false" customHeight="true" outlineLevel="0" collapsed="false">
      <c r="A11" s="8" t="s">
        <v>395</v>
      </c>
      <c r="B11" s="8" t="s">
        <v>396</v>
      </c>
      <c r="C11" s="9" t="s">
        <v>380</v>
      </c>
      <c r="D11" s="9" t="s">
        <v>77</v>
      </c>
      <c r="E11" s="9" t="s">
        <v>54</v>
      </c>
      <c r="F11" s="9"/>
      <c r="G11" s="9"/>
      <c r="H11" s="9"/>
      <c r="I11" s="9"/>
      <c r="J11" s="9" t="s">
        <v>391</v>
      </c>
      <c r="K11" s="9"/>
      <c r="L11" s="9"/>
    </row>
    <row r="12" customFormat="false" ht="15" hidden="false" customHeight="true" outlineLevel="0" collapsed="false">
      <c r="A12" s="8" t="s">
        <v>397</v>
      </c>
      <c r="B12" s="8" t="s">
        <v>398</v>
      </c>
      <c r="C12" s="9" t="s">
        <v>380</v>
      </c>
      <c r="D12" s="9" t="s">
        <v>96</v>
      </c>
      <c r="E12" s="9" t="s">
        <v>54</v>
      </c>
      <c r="F12" s="9"/>
      <c r="G12" s="9"/>
      <c r="H12" s="9"/>
      <c r="I12" s="9"/>
      <c r="J12" s="9" t="s">
        <v>395</v>
      </c>
      <c r="K12" s="9"/>
      <c r="L12" s="9"/>
    </row>
    <row r="13" customFormat="false" ht="15" hidden="false" customHeight="true" outlineLevel="0" collapsed="false">
      <c r="A13" s="8" t="s">
        <v>399</v>
      </c>
      <c r="B13" s="8" t="s">
        <v>400</v>
      </c>
      <c r="C13" s="9" t="s">
        <v>401</v>
      </c>
      <c r="D13" s="9" t="s">
        <v>77</v>
      </c>
      <c r="E13" s="9" t="s">
        <v>54</v>
      </c>
      <c r="F13" s="9"/>
      <c r="G13" s="9"/>
      <c r="H13" s="9"/>
      <c r="I13" s="9"/>
      <c r="J13" s="9" t="s">
        <v>397</v>
      </c>
      <c r="K13" s="9"/>
      <c r="L13" s="9"/>
    </row>
    <row r="14" customFormat="false" ht="15" hidden="false" customHeight="true" outlineLevel="0" collapsed="false">
      <c r="A14" s="8" t="s">
        <v>402</v>
      </c>
      <c r="B14" s="8" t="s">
        <v>403</v>
      </c>
      <c r="C14" s="9" t="s">
        <v>401</v>
      </c>
      <c r="D14" s="9" t="s">
        <v>77</v>
      </c>
      <c r="E14" s="9" t="s">
        <v>54</v>
      </c>
      <c r="F14" s="9"/>
      <c r="G14" s="9"/>
      <c r="H14" s="9"/>
      <c r="I14" s="9"/>
      <c r="J14" s="9" t="s">
        <v>397</v>
      </c>
      <c r="K14" s="9"/>
      <c r="L14" s="9"/>
    </row>
    <row r="15" customFormat="false" ht="15" hidden="false" customHeight="true" outlineLevel="0" collapsed="false">
      <c r="A15" s="8" t="s">
        <v>404</v>
      </c>
      <c r="B15" s="8" t="s">
        <v>405</v>
      </c>
      <c r="C15" s="9" t="s">
        <v>401</v>
      </c>
      <c r="D15" s="9" t="s">
        <v>96</v>
      </c>
      <c r="E15" s="9" t="s">
        <v>54</v>
      </c>
      <c r="F15" s="9"/>
      <c r="G15" s="9"/>
      <c r="H15" s="9"/>
      <c r="I15" s="9"/>
      <c r="J15" s="9" t="s">
        <v>402</v>
      </c>
      <c r="K15" s="9"/>
      <c r="L15" s="9"/>
    </row>
    <row r="16" customFormat="false" ht="15" hidden="false" customHeight="true" outlineLevel="0" collapsed="false">
      <c r="A16" s="8" t="s">
        <v>406</v>
      </c>
      <c r="B16" s="8" t="s">
        <v>407</v>
      </c>
      <c r="C16" s="9" t="s">
        <v>401</v>
      </c>
      <c r="D16" s="9" t="s">
        <v>96</v>
      </c>
      <c r="E16" s="9" t="s">
        <v>54</v>
      </c>
      <c r="F16" s="9"/>
      <c r="G16" s="9"/>
      <c r="H16" s="9"/>
      <c r="I16" s="9"/>
      <c r="J16" s="9" t="s">
        <v>404</v>
      </c>
      <c r="K16" s="9"/>
      <c r="L16" s="9"/>
    </row>
    <row r="17" customFormat="false" ht="15" hidden="false" customHeight="true" outlineLevel="0" collapsed="false">
      <c r="A17" s="8" t="s">
        <v>408</v>
      </c>
      <c r="B17" s="8" t="s">
        <v>409</v>
      </c>
      <c r="C17" s="9" t="s">
        <v>410</v>
      </c>
      <c r="D17" s="9" t="s">
        <v>77</v>
      </c>
      <c r="E17" s="9" t="s">
        <v>54</v>
      </c>
      <c r="F17" s="9"/>
      <c r="G17" s="9"/>
      <c r="H17" s="9"/>
      <c r="I17" s="9"/>
      <c r="J17" s="9" t="s">
        <v>406</v>
      </c>
      <c r="K17" s="9"/>
      <c r="L17" s="9"/>
    </row>
    <row r="18" customFormat="false" ht="15" hidden="false" customHeight="true" outlineLevel="0" collapsed="false">
      <c r="A18" s="8" t="s">
        <v>411</v>
      </c>
      <c r="B18" s="8" t="s">
        <v>412</v>
      </c>
      <c r="C18" s="9" t="s">
        <v>410</v>
      </c>
      <c r="D18" s="9" t="s">
        <v>77</v>
      </c>
      <c r="E18" s="9" t="s">
        <v>54</v>
      </c>
      <c r="F18" s="9"/>
      <c r="G18" s="9"/>
      <c r="H18" s="9"/>
      <c r="I18" s="9"/>
      <c r="J18" s="9" t="s">
        <v>408</v>
      </c>
      <c r="K18" s="9"/>
      <c r="L18" s="9"/>
    </row>
    <row r="19" customFormat="false" ht="15" hidden="false" customHeight="true" outlineLevel="0" collapsed="false">
      <c r="A19" s="8" t="s">
        <v>413</v>
      </c>
      <c r="B19" s="8" t="s">
        <v>414</v>
      </c>
      <c r="C19" s="9" t="s">
        <v>410</v>
      </c>
      <c r="D19" s="9" t="s">
        <v>77</v>
      </c>
      <c r="E19" s="9" t="s">
        <v>54</v>
      </c>
      <c r="F19" s="9"/>
      <c r="G19" s="9"/>
      <c r="H19" s="9"/>
      <c r="I19" s="9"/>
      <c r="J19" s="9" t="s">
        <v>411</v>
      </c>
      <c r="K19" s="9"/>
      <c r="L19" s="9"/>
    </row>
    <row r="20" customFormat="false" ht="15" hidden="false" customHeight="true" outlineLevel="0" collapsed="false">
      <c r="A20" s="8" t="s">
        <v>415</v>
      </c>
      <c r="B20" s="8" t="s">
        <v>416</v>
      </c>
      <c r="C20" s="9" t="s">
        <v>410</v>
      </c>
      <c r="D20" s="9" t="s">
        <v>77</v>
      </c>
      <c r="E20" s="9" t="s">
        <v>54</v>
      </c>
      <c r="F20" s="9"/>
      <c r="G20" s="9"/>
      <c r="H20" s="9"/>
      <c r="I20" s="9"/>
      <c r="J20" s="9" t="s">
        <v>413</v>
      </c>
      <c r="K20" s="9"/>
      <c r="L20" s="9"/>
    </row>
    <row r="21" customFormat="false" ht="15" hidden="false" customHeight="true" outlineLevel="0" collapsed="false">
      <c r="A21" s="8" t="s">
        <v>417</v>
      </c>
      <c r="B21" s="8" t="s">
        <v>418</v>
      </c>
      <c r="C21" s="9" t="s">
        <v>410</v>
      </c>
      <c r="D21" s="9" t="s">
        <v>77</v>
      </c>
      <c r="E21" s="9" t="s">
        <v>54</v>
      </c>
      <c r="F21" s="9"/>
      <c r="G21" s="9"/>
      <c r="H21" s="9"/>
      <c r="I21" s="9"/>
      <c r="J21" s="9" t="s">
        <v>415</v>
      </c>
      <c r="K21" s="9"/>
      <c r="L21" s="9"/>
    </row>
    <row r="22" customFormat="false" ht="15" hidden="false" customHeight="true" outlineLevel="0" collapsed="false">
      <c r="A22" s="8" t="s">
        <v>419</v>
      </c>
      <c r="B22" s="8" t="s">
        <v>420</v>
      </c>
      <c r="C22" s="9" t="s">
        <v>410</v>
      </c>
      <c r="D22" s="9" t="s">
        <v>77</v>
      </c>
      <c r="E22" s="9" t="s">
        <v>54</v>
      </c>
      <c r="F22" s="9"/>
      <c r="G22" s="9"/>
      <c r="H22" s="9"/>
      <c r="I22" s="9"/>
      <c r="J22" s="9" t="s">
        <v>417</v>
      </c>
      <c r="K22" s="9"/>
      <c r="L22" s="9"/>
    </row>
    <row r="23" customFormat="false" ht="15" hidden="false" customHeight="true" outlineLevel="0" collapsed="false">
      <c r="A23" s="8" t="s">
        <v>421</v>
      </c>
      <c r="B23" s="8" t="s">
        <v>422</v>
      </c>
      <c r="C23" s="9" t="s">
        <v>423</v>
      </c>
      <c r="D23" s="9" t="s">
        <v>77</v>
      </c>
      <c r="E23" s="9" t="s">
        <v>54</v>
      </c>
      <c r="F23" s="9"/>
      <c r="G23" s="9"/>
      <c r="H23" s="9"/>
      <c r="I23" s="9"/>
      <c r="J23" s="9" t="s">
        <v>78</v>
      </c>
      <c r="K23" s="9"/>
      <c r="L23" s="9"/>
    </row>
    <row r="24" customFormat="false" ht="15" hidden="false" customHeight="true" outlineLevel="0" collapsed="false">
      <c r="A24" s="8" t="s">
        <v>424</v>
      </c>
      <c r="B24" s="8" t="s">
        <v>425</v>
      </c>
      <c r="C24" s="9" t="s">
        <v>423</v>
      </c>
      <c r="D24" s="9" t="s">
        <v>77</v>
      </c>
      <c r="E24" s="9" t="s">
        <v>54</v>
      </c>
      <c r="F24" s="9"/>
      <c r="G24" s="9"/>
      <c r="H24" s="9"/>
      <c r="I24" s="9"/>
      <c r="J24" s="9" t="s">
        <v>421</v>
      </c>
      <c r="K24" s="9"/>
      <c r="L24" s="9"/>
    </row>
    <row r="25" customFormat="false" ht="15" hidden="false" customHeight="true" outlineLevel="0" collapsed="false">
      <c r="A25" s="8" t="s">
        <v>426</v>
      </c>
      <c r="B25" s="8" t="s">
        <v>427</v>
      </c>
      <c r="C25" s="9" t="s">
        <v>423</v>
      </c>
      <c r="D25" s="9" t="s">
        <v>77</v>
      </c>
      <c r="E25" s="9" t="s">
        <v>54</v>
      </c>
      <c r="F25" s="9"/>
      <c r="G25" s="9"/>
      <c r="H25" s="9"/>
      <c r="I25" s="9"/>
      <c r="J25" s="9" t="s">
        <v>424</v>
      </c>
      <c r="K25" s="9"/>
      <c r="L25" s="9"/>
    </row>
    <row r="26" customFormat="false" ht="15" hidden="false" customHeight="true" outlineLevel="0" collapsed="false">
      <c r="A26" s="8" t="s">
        <v>428</v>
      </c>
      <c r="B26" s="8" t="s">
        <v>429</v>
      </c>
      <c r="C26" s="9" t="s">
        <v>423</v>
      </c>
      <c r="D26" s="9" t="s">
        <v>77</v>
      </c>
      <c r="E26" s="9" t="s">
        <v>54</v>
      </c>
      <c r="F26" s="9"/>
      <c r="G26" s="9"/>
      <c r="H26" s="9"/>
      <c r="I26" s="9"/>
      <c r="J26" s="9" t="s">
        <v>426</v>
      </c>
      <c r="K26" s="9"/>
      <c r="L26" s="9"/>
    </row>
    <row r="27" customFormat="false" ht="15" hidden="false" customHeight="true" outlineLevel="0" collapsed="false">
      <c r="A27" s="8" t="s">
        <v>430</v>
      </c>
      <c r="B27" s="8" t="s">
        <v>431</v>
      </c>
      <c r="C27" s="9" t="s">
        <v>423</v>
      </c>
      <c r="D27" s="9" t="s">
        <v>77</v>
      </c>
      <c r="E27" s="9" t="s">
        <v>54</v>
      </c>
      <c r="F27" s="9"/>
      <c r="G27" s="9"/>
      <c r="H27" s="9"/>
      <c r="I27" s="9"/>
      <c r="J27" s="9" t="s">
        <v>428</v>
      </c>
      <c r="K27" s="9"/>
      <c r="L27" s="9"/>
    </row>
    <row r="28" customFormat="false" ht="15" hidden="false" customHeight="true" outlineLevel="0" collapsed="false">
      <c r="A28" s="8" t="s">
        <v>432</v>
      </c>
      <c r="B28" s="8" t="s">
        <v>433</v>
      </c>
      <c r="C28" s="9" t="s">
        <v>423</v>
      </c>
      <c r="D28" s="9" t="s">
        <v>77</v>
      </c>
      <c r="E28" s="9" t="s">
        <v>54</v>
      </c>
      <c r="F28" s="9"/>
      <c r="G28" s="9"/>
      <c r="H28" s="9"/>
      <c r="I28" s="9"/>
      <c r="J28" s="9" t="s">
        <v>430</v>
      </c>
      <c r="K28" s="9"/>
      <c r="L28" s="9"/>
    </row>
    <row r="29" customFormat="false" ht="15" hidden="false" customHeight="true" outlineLevel="0" collapsed="false">
      <c r="A29" s="8" t="s">
        <v>434</v>
      </c>
      <c r="B29" s="8" t="s">
        <v>435</v>
      </c>
      <c r="C29" s="9" t="s">
        <v>423</v>
      </c>
      <c r="D29" s="9" t="s">
        <v>77</v>
      </c>
      <c r="E29" s="9" t="s">
        <v>54</v>
      </c>
      <c r="F29" s="9"/>
      <c r="G29" s="9"/>
      <c r="H29" s="9"/>
      <c r="I29" s="9"/>
      <c r="J29" s="9" t="s">
        <v>432</v>
      </c>
      <c r="K29" s="9"/>
      <c r="L29" s="9"/>
    </row>
    <row r="30" customFormat="false" ht="15" hidden="false" customHeight="true" outlineLevel="0" collapsed="false">
      <c r="A30" s="8" t="s">
        <v>436</v>
      </c>
      <c r="B30" s="8" t="s">
        <v>437</v>
      </c>
      <c r="C30" s="9" t="s">
        <v>423</v>
      </c>
      <c r="D30" s="9" t="s">
        <v>77</v>
      </c>
      <c r="E30" s="9" t="s">
        <v>54</v>
      </c>
      <c r="F30" s="9"/>
      <c r="G30" s="9"/>
      <c r="H30" s="9"/>
      <c r="I30" s="9"/>
      <c r="J30" s="9" t="s">
        <v>434</v>
      </c>
      <c r="K30" s="9"/>
      <c r="L30" s="9"/>
    </row>
    <row r="31" customFormat="false" ht="15" hidden="false" customHeight="true" outlineLevel="0" collapsed="false">
      <c r="A31" s="8" t="s">
        <v>438</v>
      </c>
      <c r="B31" s="8" t="s">
        <v>439</v>
      </c>
      <c r="C31" s="9" t="s">
        <v>423</v>
      </c>
      <c r="D31" s="9" t="s">
        <v>77</v>
      </c>
      <c r="E31" s="9" t="s">
        <v>54</v>
      </c>
      <c r="F31" s="9"/>
      <c r="G31" s="9"/>
      <c r="H31" s="9"/>
      <c r="I31" s="9"/>
      <c r="J31" s="9" t="s">
        <v>436</v>
      </c>
      <c r="K31" s="9"/>
      <c r="L31" s="9"/>
    </row>
    <row r="32" customFormat="false" ht="15" hidden="false" customHeight="true" outlineLevel="0" collapsed="false">
      <c r="A32" s="8" t="s">
        <v>440</v>
      </c>
      <c r="B32" s="8" t="s">
        <v>441</v>
      </c>
      <c r="C32" s="9" t="s">
        <v>423</v>
      </c>
      <c r="D32" s="9" t="s">
        <v>96</v>
      </c>
      <c r="E32" s="9" t="s">
        <v>54</v>
      </c>
      <c r="F32" s="9"/>
      <c r="G32" s="9"/>
      <c r="H32" s="9"/>
      <c r="I32" s="9"/>
      <c r="J32" s="9" t="s">
        <v>438</v>
      </c>
      <c r="K32" s="9"/>
      <c r="L32" s="9"/>
    </row>
    <row r="33" customFormat="false" ht="15" hidden="false" customHeight="true" outlineLevel="0" collapsed="false">
      <c r="A33" s="8" t="s">
        <v>442</v>
      </c>
      <c r="B33" s="8" t="s">
        <v>443</v>
      </c>
      <c r="C33" s="9" t="s">
        <v>444</v>
      </c>
      <c r="D33" s="9" t="s">
        <v>77</v>
      </c>
      <c r="E33" s="9" t="s">
        <v>54</v>
      </c>
      <c r="F33" s="9"/>
      <c r="G33" s="9"/>
      <c r="H33" s="9"/>
      <c r="I33" s="9"/>
      <c r="J33" s="9" t="s">
        <v>78</v>
      </c>
      <c r="K33" s="9" t="s">
        <v>445</v>
      </c>
      <c r="L33" s="9"/>
    </row>
    <row r="34" customFormat="false" ht="15" hidden="false" customHeight="true" outlineLevel="0" collapsed="false">
      <c r="A34" s="8" t="s">
        <v>446</v>
      </c>
      <c r="B34" s="8" t="s">
        <v>447</v>
      </c>
      <c r="C34" s="9" t="s">
        <v>444</v>
      </c>
      <c r="D34" s="9" t="s">
        <v>77</v>
      </c>
      <c r="E34" s="9" t="s">
        <v>54</v>
      </c>
      <c r="F34" s="9"/>
      <c r="G34" s="9"/>
      <c r="H34" s="9"/>
      <c r="I34" s="9"/>
      <c r="J34" s="9" t="s">
        <v>442</v>
      </c>
      <c r="K34" s="9"/>
      <c r="L34" s="9"/>
    </row>
    <row r="35" customFormat="false" ht="15" hidden="false" customHeight="true" outlineLevel="0" collapsed="false">
      <c r="A35" s="8" t="s">
        <v>448</v>
      </c>
      <c r="B35" s="8" t="s">
        <v>449</v>
      </c>
      <c r="C35" s="9" t="s">
        <v>444</v>
      </c>
      <c r="D35" s="9" t="s">
        <v>77</v>
      </c>
      <c r="E35" s="9" t="s">
        <v>54</v>
      </c>
      <c r="F35" s="9"/>
      <c r="G35" s="9"/>
      <c r="H35" s="9"/>
      <c r="I35" s="9"/>
      <c r="J35" s="9" t="s">
        <v>446</v>
      </c>
      <c r="K35" s="9"/>
      <c r="L35" s="9"/>
    </row>
    <row r="36" customFormat="false" ht="15" hidden="false" customHeight="true" outlineLevel="0" collapsed="false">
      <c r="A36" s="8" t="s">
        <v>450</v>
      </c>
      <c r="B36" s="8" t="s">
        <v>451</v>
      </c>
      <c r="C36" s="9" t="s">
        <v>444</v>
      </c>
      <c r="D36" s="9" t="s">
        <v>77</v>
      </c>
      <c r="E36" s="9" t="s">
        <v>54</v>
      </c>
      <c r="F36" s="9"/>
      <c r="G36" s="9"/>
      <c r="H36" s="9"/>
      <c r="I36" s="9"/>
      <c r="J36" s="9" t="s">
        <v>448</v>
      </c>
      <c r="K36" s="9"/>
      <c r="L36" s="9"/>
    </row>
    <row r="37" customFormat="false" ht="15" hidden="false" customHeight="true" outlineLevel="0" collapsed="false">
      <c r="A37" s="8" t="s">
        <v>452</v>
      </c>
      <c r="B37" s="8" t="s">
        <v>453</v>
      </c>
      <c r="C37" s="9" t="s">
        <v>444</v>
      </c>
      <c r="D37" s="9" t="s">
        <v>77</v>
      </c>
      <c r="E37" s="9" t="s">
        <v>54</v>
      </c>
      <c r="F37" s="9"/>
      <c r="G37" s="9"/>
      <c r="H37" s="9"/>
      <c r="I37" s="9"/>
      <c r="J37" s="9" t="s">
        <v>450</v>
      </c>
      <c r="K37" s="9"/>
      <c r="L37" s="9"/>
    </row>
    <row r="38" customFormat="false" ht="15" hidden="false" customHeight="true" outlineLevel="0" collapsed="false">
      <c r="A38" s="8" t="s">
        <v>454</v>
      </c>
      <c r="B38" s="8" t="s">
        <v>455</v>
      </c>
      <c r="C38" s="9" t="s">
        <v>444</v>
      </c>
      <c r="D38" s="9" t="s">
        <v>77</v>
      </c>
      <c r="E38" s="9" t="s">
        <v>54</v>
      </c>
      <c r="F38" s="9"/>
      <c r="G38" s="9"/>
      <c r="H38" s="9"/>
      <c r="I38" s="9"/>
      <c r="J38" s="9" t="s">
        <v>452</v>
      </c>
      <c r="K38" s="9"/>
      <c r="L38" s="9"/>
    </row>
    <row r="39" customFormat="false" ht="15" hidden="false" customHeight="true" outlineLevel="0" collapsed="false">
      <c r="A39" s="8" t="s">
        <v>456</v>
      </c>
      <c r="B39" s="8" t="s">
        <v>457</v>
      </c>
      <c r="C39" s="9" t="s">
        <v>444</v>
      </c>
      <c r="D39" s="9" t="s">
        <v>77</v>
      </c>
      <c r="E39" s="9" t="s">
        <v>54</v>
      </c>
      <c r="F39" s="9"/>
      <c r="G39" s="9"/>
      <c r="H39" s="9"/>
      <c r="I39" s="9"/>
      <c r="J39" s="9" t="s">
        <v>454</v>
      </c>
      <c r="K39" s="9"/>
      <c r="L39" s="9"/>
    </row>
    <row r="40" customFormat="false" ht="15" hidden="false" customHeight="true" outlineLevel="0" collapsed="false">
      <c r="A40" s="8" t="s">
        <v>458</v>
      </c>
      <c r="B40" s="8" t="s">
        <v>459</v>
      </c>
      <c r="C40" s="9" t="s">
        <v>444</v>
      </c>
      <c r="D40" s="9" t="s">
        <v>77</v>
      </c>
      <c r="E40" s="9" t="s">
        <v>54</v>
      </c>
      <c r="F40" s="9"/>
      <c r="G40" s="9"/>
      <c r="H40" s="9"/>
      <c r="I40" s="9"/>
      <c r="J40" s="9" t="s">
        <v>454</v>
      </c>
      <c r="K40" s="9"/>
      <c r="L40" s="9"/>
    </row>
    <row r="41" customFormat="false" ht="15" hidden="false" customHeight="true" outlineLevel="0" collapsed="false">
      <c r="A41" s="8" t="s">
        <v>460</v>
      </c>
      <c r="B41" s="8" t="s">
        <v>461</v>
      </c>
      <c r="C41" s="9" t="s">
        <v>444</v>
      </c>
      <c r="D41" s="9" t="s">
        <v>77</v>
      </c>
      <c r="E41" s="9" t="s">
        <v>54</v>
      </c>
      <c r="F41" s="9"/>
      <c r="G41" s="9"/>
      <c r="H41" s="9"/>
      <c r="I41" s="9"/>
      <c r="J41" s="9" t="s">
        <v>458</v>
      </c>
      <c r="K41" s="9"/>
      <c r="L41" s="9"/>
    </row>
    <row r="42" customFormat="false" ht="15" hidden="false" customHeight="true" outlineLevel="0" collapsed="false">
      <c r="A42" s="8" t="s">
        <v>462</v>
      </c>
      <c r="B42" s="8" t="s">
        <v>463</v>
      </c>
      <c r="C42" s="9" t="s">
        <v>444</v>
      </c>
      <c r="D42" s="9" t="s">
        <v>77</v>
      </c>
      <c r="E42" s="9" t="s">
        <v>54</v>
      </c>
      <c r="F42" s="9"/>
      <c r="G42" s="9"/>
      <c r="H42" s="9"/>
      <c r="I42" s="9"/>
      <c r="J42" s="9" t="s">
        <v>454</v>
      </c>
      <c r="K42" s="9"/>
      <c r="L42" s="9"/>
    </row>
    <row r="43" customFormat="false" ht="15" hidden="false" customHeight="true" outlineLevel="0" collapsed="false">
      <c r="A43" s="8" t="s">
        <v>464</v>
      </c>
      <c r="B43" s="8" t="s">
        <v>465</v>
      </c>
      <c r="C43" s="9" t="s">
        <v>466</v>
      </c>
      <c r="D43" s="9" t="s">
        <v>77</v>
      </c>
      <c r="E43" s="9" t="s">
        <v>54</v>
      </c>
      <c r="F43" s="9"/>
      <c r="G43" s="9"/>
      <c r="H43" s="9"/>
      <c r="I43" s="9"/>
      <c r="J43" s="9" t="s">
        <v>462</v>
      </c>
      <c r="K43" s="9"/>
      <c r="L43" s="9"/>
    </row>
    <row r="44" customFormat="false" ht="15" hidden="false" customHeight="true" outlineLevel="0" collapsed="false">
      <c r="A44" s="8" t="s">
        <v>467</v>
      </c>
      <c r="B44" s="8" t="s">
        <v>468</v>
      </c>
      <c r="C44" s="9" t="s">
        <v>466</v>
      </c>
      <c r="D44" s="9" t="s">
        <v>96</v>
      </c>
      <c r="E44" s="9" t="s">
        <v>54</v>
      </c>
      <c r="F44" s="9"/>
      <c r="G44" s="9"/>
      <c r="H44" s="9"/>
      <c r="I44" s="9"/>
      <c r="J44" s="9" t="s">
        <v>464</v>
      </c>
      <c r="K44" s="9"/>
      <c r="L44" s="9"/>
    </row>
    <row r="45" customFormat="false" ht="15" hidden="false" customHeight="true" outlineLevel="0" collapsed="false">
      <c r="A45" s="8" t="s">
        <v>469</v>
      </c>
      <c r="B45" s="8" t="s">
        <v>470</v>
      </c>
      <c r="C45" s="9" t="s">
        <v>466</v>
      </c>
      <c r="D45" s="9" t="s">
        <v>96</v>
      </c>
      <c r="E45" s="9" t="s">
        <v>54</v>
      </c>
      <c r="F45" s="9"/>
      <c r="G45" s="9"/>
      <c r="H45" s="9"/>
      <c r="I45" s="9"/>
      <c r="J45" s="9" t="s">
        <v>467</v>
      </c>
      <c r="K45" s="9"/>
      <c r="L45" s="9"/>
    </row>
    <row r="46" customFormat="false" ht="15" hidden="false" customHeight="true" outlineLevel="0" collapsed="false">
      <c r="A46" s="8" t="s">
        <v>471</v>
      </c>
      <c r="B46" s="8" t="s">
        <v>472</v>
      </c>
      <c r="C46" s="9" t="s">
        <v>466</v>
      </c>
      <c r="D46" s="9" t="s">
        <v>96</v>
      </c>
      <c r="E46" s="9" t="s">
        <v>54</v>
      </c>
      <c r="F46" s="9"/>
      <c r="G46" s="9"/>
      <c r="H46" s="9"/>
      <c r="I46" s="9"/>
      <c r="J46" s="9" t="s">
        <v>469</v>
      </c>
      <c r="K46" s="9"/>
      <c r="L46" s="9"/>
    </row>
    <row r="47" customFormat="false" ht="15" hidden="false" customHeight="true" outlineLevel="0" collapsed="false">
      <c r="A47" s="8" t="s">
        <v>473</v>
      </c>
      <c r="B47" s="8" t="s">
        <v>474</v>
      </c>
      <c r="C47" s="9" t="s">
        <v>466</v>
      </c>
      <c r="D47" s="9" t="s">
        <v>77</v>
      </c>
      <c r="E47" s="9" t="s">
        <v>54</v>
      </c>
      <c r="F47" s="9"/>
      <c r="G47" s="9"/>
      <c r="H47" s="9"/>
      <c r="I47" s="9"/>
      <c r="J47" s="9" t="s">
        <v>471</v>
      </c>
      <c r="K47" s="9"/>
      <c r="L47" s="9"/>
    </row>
    <row r="48" customFormat="false" ht="15" hidden="false" customHeight="true" outlineLevel="0" collapsed="false">
      <c r="A48" s="8" t="s">
        <v>475</v>
      </c>
      <c r="B48" s="8" t="s">
        <v>476</v>
      </c>
      <c r="C48" s="9" t="s">
        <v>477</v>
      </c>
      <c r="D48" s="9" t="s">
        <v>77</v>
      </c>
      <c r="E48" s="9" t="s">
        <v>54</v>
      </c>
      <c r="F48" s="9"/>
      <c r="G48" s="9"/>
      <c r="H48" s="9"/>
      <c r="I48" s="9"/>
      <c r="J48" s="9" t="s">
        <v>473</v>
      </c>
      <c r="K48" s="9"/>
      <c r="L48" s="9"/>
    </row>
    <row r="49" customFormat="false" ht="15" hidden="false" customHeight="true" outlineLevel="0" collapsed="false">
      <c r="A49" s="8" t="s">
        <v>478</v>
      </c>
      <c r="B49" s="8" t="s">
        <v>479</v>
      </c>
      <c r="C49" s="9" t="s">
        <v>477</v>
      </c>
      <c r="D49" s="9" t="s">
        <v>77</v>
      </c>
      <c r="E49" s="9" t="s">
        <v>54</v>
      </c>
      <c r="F49" s="9"/>
      <c r="G49" s="9"/>
      <c r="H49" s="9"/>
      <c r="I49" s="9"/>
      <c r="J49" s="9" t="s">
        <v>475</v>
      </c>
      <c r="K49" s="9"/>
      <c r="L49" s="9"/>
    </row>
    <row r="50" customFormat="false" ht="15" hidden="false" customHeight="true" outlineLevel="0" collapsed="false">
      <c r="A50" s="8" t="s">
        <v>480</v>
      </c>
      <c r="B50" s="8" t="s">
        <v>481</v>
      </c>
      <c r="C50" s="9" t="s">
        <v>477</v>
      </c>
      <c r="D50" s="9" t="s">
        <v>77</v>
      </c>
      <c r="E50" s="9" t="s">
        <v>54</v>
      </c>
      <c r="F50" s="9"/>
      <c r="G50" s="9"/>
      <c r="H50" s="9"/>
      <c r="I50" s="9"/>
      <c r="J50" s="9" t="s">
        <v>478</v>
      </c>
      <c r="K50" s="9"/>
      <c r="L50" s="9"/>
    </row>
    <row r="51" customFormat="false" ht="15" hidden="false" customHeight="true" outlineLevel="0" collapsed="false">
      <c r="A51" s="8" t="s">
        <v>482</v>
      </c>
      <c r="B51" s="8" t="s">
        <v>483</v>
      </c>
      <c r="C51" s="9" t="s">
        <v>477</v>
      </c>
      <c r="D51" s="9" t="s">
        <v>77</v>
      </c>
      <c r="E51" s="9" t="s">
        <v>54</v>
      </c>
      <c r="F51" s="9"/>
      <c r="G51" s="9"/>
      <c r="H51" s="9"/>
      <c r="I51" s="9"/>
      <c r="J51" s="9" t="s">
        <v>480</v>
      </c>
      <c r="K51" s="9"/>
      <c r="L51" s="9"/>
    </row>
    <row r="52" customFormat="false" ht="15" hidden="false" customHeight="true" outlineLevel="0" collapsed="false">
      <c r="A52" s="8" t="s">
        <v>484</v>
      </c>
      <c r="B52" s="8" t="s">
        <v>485</v>
      </c>
      <c r="C52" s="9" t="s">
        <v>477</v>
      </c>
      <c r="D52" s="9" t="s">
        <v>77</v>
      </c>
      <c r="E52" s="9" t="s">
        <v>54</v>
      </c>
      <c r="F52" s="9"/>
      <c r="G52" s="9"/>
      <c r="H52" s="9"/>
      <c r="I52" s="9"/>
      <c r="J52" s="9" t="s">
        <v>482</v>
      </c>
      <c r="K52" s="9"/>
      <c r="L52" s="9"/>
    </row>
    <row r="53" customFormat="false" ht="15" hidden="false" customHeight="true" outlineLevel="0" collapsed="false">
      <c r="A53" s="8" t="s">
        <v>486</v>
      </c>
      <c r="B53" s="8" t="s">
        <v>487</v>
      </c>
      <c r="C53" s="9" t="s">
        <v>367</v>
      </c>
      <c r="D53" s="9" t="s">
        <v>77</v>
      </c>
      <c r="E53" s="9" t="s">
        <v>54</v>
      </c>
      <c r="F53" s="9"/>
      <c r="G53" s="9"/>
      <c r="H53" s="9"/>
      <c r="I53" s="9"/>
      <c r="J53" s="9" t="s">
        <v>484</v>
      </c>
      <c r="K53" s="9"/>
      <c r="L53" s="9"/>
    </row>
    <row r="54" customFormat="false" ht="15" hidden="false" customHeight="true" outlineLevel="0" collapsed="false">
      <c r="A54" s="8" t="s">
        <v>488</v>
      </c>
      <c r="B54" s="8" t="s">
        <v>489</v>
      </c>
      <c r="C54" s="9" t="s">
        <v>367</v>
      </c>
      <c r="D54" s="9" t="s">
        <v>77</v>
      </c>
      <c r="E54" s="9" t="s">
        <v>54</v>
      </c>
      <c r="F54" s="9"/>
      <c r="G54" s="9"/>
      <c r="H54" s="9"/>
      <c r="I54" s="9"/>
      <c r="J54" s="9" t="s">
        <v>486</v>
      </c>
      <c r="K54" s="9"/>
      <c r="L54" s="9"/>
    </row>
    <row r="55" customFormat="false" ht="15" hidden="false" customHeight="true" outlineLevel="0" collapsed="false">
      <c r="A55" s="8" t="s">
        <v>490</v>
      </c>
      <c r="B55" s="8" t="s">
        <v>491</v>
      </c>
      <c r="C55" s="9" t="s">
        <v>367</v>
      </c>
      <c r="D55" s="9" t="s">
        <v>96</v>
      </c>
      <c r="E55" s="9" t="s">
        <v>54</v>
      </c>
      <c r="F55" s="9"/>
      <c r="G55" s="9"/>
      <c r="H55" s="9"/>
      <c r="I55" s="9"/>
      <c r="J55" s="9" t="s">
        <v>488</v>
      </c>
      <c r="K55" s="9"/>
      <c r="L55" s="9"/>
    </row>
    <row r="56" customFormat="false" ht="15" hidden="false" customHeight="true" outlineLevel="0" collapsed="false">
      <c r="A56" s="8" t="s">
        <v>492</v>
      </c>
      <c r="B56" s="8" t="s">
        <v>493</v>
      </c>
      <c r="C56" s="9" t="s">
        <v>376</v>
      </c>
      <c r="D56" s="9" t="s">
        <v>77</v>
      </c>
      <c r="E56" s="9" t="s">
        <v>54</v>
      </c>
      <c r="F56" s="9"/>
      <c r="G56" s="9"/>
      <c r="H56" s="9"/>
      <c r="I56" s="9"/>
      <c r="J56" s="9" t="s">
        <v>490</v>
      </c>
      <c r="K56" s="9"/>
      <c r="L56" s="9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5" min="4" style="1" width="8"/>
    <col collapsed="false" customWidth="true" hidden="false" outlineLevel="0" max="10" min="6" style="1" width="12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9.5" hidden="false" customHeight="true" outlineLevel="0" collapsed="false">
      <c r="A1" s="24" t="s">
        <v>494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26.25" hidden="false" customHeight="true" outlineLevel="0" collapsed="false">
      <c r="A2" s="7" t="s">
        <v>63</v>
      </c>
      <c r="B2" s="7" t="s">
        <v>64</v>
      </c>
      <c r="C2" s="7" t="s">
        <v>65</v>
      </c>
      <c r="D2" s="7" t="s">
        <v>66</v>
      </c>
      <c r="E2" s="7" t="s">
        <v>22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 t="s">
        <v>73</v>
      </c>
    </row>
    <row r="3" customFormat="false" ht="15" hidden="false" customHeight="true" outlineLevel="0" collapsed="false">
      <c r="A3" s="8" t="s">
        <v>495</v>
      </c>
      <c r="B3" s="8" t="s">
        <v>496</v>
      </c>
      <c r="C3" s="9" t="s">
        <v>497</v>
      </c>
      <c r="D3" s="9" t="s">
        <v>77</v>
      </c>
      <c r="E3" s="9" t="s">
        <v>54</v>
      </c>
      <c r="F3" s="9"/>
      <c r="G3" s="9"/>
      <c r="H3" s="9"/>
      <c r="I3" s="9"/>
      <c r="J3" s="9" t="s">
        <v>78</v>
      </c>
      <c r="K3" s="9"/>
      <c r="L3" s="9"/>
    </row>
    <row r="4" customFormat="false" ht="15" hidden="false" customHeight="true" outlineLevel="0" collapsed="false">
      <c r="A4" s="8" t="s">
        <v>498</v>
      </c>
      <c r="B4" s="8" t="s">
        <v>499</v>
      </c>
      <c r="C4" s="9" t="s">
        <v>497</v>
      </c>
      <c r="D4" s="9" t="s">
        <v>77</v>
      </c>
      <c r="E4" s="9" t="s">
        <v>54</v>
      </c>
      <c r="F4" s="9"/>
      <c r="G4" s="9"/>
      <c r="H4" s="9"/>
      <c r="I4" s="9"/>
      <c r="J4" s="9" t="s">
        <v>495</v>
      </c>
      <c r="K4" s="9"/>
      <c r="L4" s="9"/>
    </row>
    <row r="5" customFormat="false" ht="15" hidden="false" customHeight="true" outlineLevel="0" collapsed="false">
      <c r="A5" s="8" t="s">
        <v>500</v>
      </c>
      <c r="B5" s="8" t="s">
        <v>501</v>
      </c>
      <c r="C5" s="9" t="s">
        <v>497</v>
      </c>
      <c r="D5" s="9" t="s">
        <v>77</v>
      </c>
      <c r="E5" s="9" t="s">
        <v>54</v>
      </c>
      <c r="F5" s="9"/>
      <c r="G5" s="9"/>
      <c r="H5" s="9"/>
      <c r="I5" s="9"/>
      <c r="J5" s="9" t="s">
        <v>498</v>
      </c>
      <c r="K5" s="9"/>
      <c r="L5" s="9"/>
    </row>
    <row r="6" customFormat="false" ht="15" hidden="false" customHeight="true" outlineLevel="0" collapsed="false">
      <c r="A6" s="8" t="s">
        <v>502</v>
      </c>
      <c r="B6" s="8" t="s">
        <v>503</v>
      </c>
      <c r="C6" s="9" t="s">
        <v>497</v>
      </c>
      <c r="D6" s="9" t="s">
        <v>77</v>
      </c>
      <c r="E6" s="9" t="s">
        <v>54</v>
      </c>
      <c r="F6" s="9"/>
      <c r="G6" s="9"/>
      <c r="H6" s="9"/>
      <c r="I6" s="9"/>
      <c r="J6" s="9" t="s">
        <v>500</v>
      </c>
      <c r="K6" s="9"/>
      <c r="L6" s="9"/>
    </row>
    <row r="7" customFormat="false" ht="15" hidden="false" customHeight="true" outlineLevel="0" collapsed="false">
      <c r="A7" s="8" t="s">
        <v>504</v>
      </c>
      <c r="B7" s="8" t="s">
        <v>505</v>
      </c>
      <c r="C7" s="9" t="s">
        <v>497</v>
      </c>
      <c r="D7" s="9" t="s">
        <v>77</v>
      </c>
      <c r="E7" s="9" t="s">
        <v>54</v>
      </c>
      <c r="F7" s="9"/>
      <c r="G7" s="9"/>
      <c r="H7" s="9"/>
      <c r="I7" s="9"/>
      <c r="J7" s="9" t="s">
        <v>500</v>
      </c>
      <c r="K7" s="9"/>
      <c r="L7" s="9"/>
    </row>
    <row r="8" customFormat="false" ht="15" hidden="false" customHeight="true" outlineLevel="0" collapsed="false">
      <c r="A8" s="8" t="s">
        <v>506</v>
      </c>
      <c r="B8" s="8" t="s">
        <v>507</v>
      </c>
      <c r="C8" s="9" t="s">
        <v>497</v>
      </c>
      <c r="D8" s="9" t="s">
        <v>77</v>
      </c>
      <c r="E8" s="9" t="s">
        <v>54</v>
      </c>
      <c r="F8" s="9"/>
      <c r="G8" s="9"/>
      <c r="H8" s="9"/>
      <c r="I8" s="9"/>
      <c r="J8" s="9" t="s">
        <v>500</v>
      </c>
      <c r="K8" s="9"/>
      <c r="L8" s="9"/>
    </row>
    <row r="9" customFormat="false" ht="15" hidden="false" customHeight="true" outlineLevel="0" collapsed="false">
      <c r="A9" s="8" t="s">
        <v>508</v>
      </c>
      <c r="B9" s="8" t="s">
        <v>509</v>
      </c>
      <c r="C9" s="9" t="s">
        <v>497</v>
      </c>
      <c r="D9" s="9" t="s">
        <v>77</v>
      </c>
      <c r="E9" s="9" t="s">
        <v>54</v>
      </c>
      <c r="F9" s="9"/>
      <c r="G9" s="9"/>
      <c r="H9" s="9"/>
      <c r="I9" s="9"/>
      <c r="J9" s="9" t="s">
        <v>506</v>
      </c>
      <c r="K9" s="9"/>
      <c r="L9" s="9"/>
    </row>
    <row r="10" customFormat="false" ht="15" hidden="false" customHeight="true" outlineLevel="0" collapsed="false">
      <c r="A10" s="8" t="s">
        <v>510</v>
      </c>
      <c r="B10" s="8" t="s">
        <v>511</v>
      </c>
      <c r="C10" s="9" t="s">
        <v>497</v>
      </c>
      <c r="D10" s="9" t="s">
        <v>77</v>
      </c>
      <c r="E10" s="9" t="s">
        <v>54</v>
      </c>
      <c r="F10" s="9"/>
      <c r="G10" s="9"/>
      <c r="H10" s="9"/>
      <c r="I10" s="9"/>
      <c r="J10" s="9" t="s">
        <v>508</v>
      </c>
      <c r="K10" s="9"/>
      <c r="L10" s="9"/>
    </row>
    <row r="11" customFormat="false" ht="15" hidden="false" customHeight="true" outlineLevel="0" collapsed="false">
      <c r="A11" s="8" t="s">
        <v>512</v>
      </c>
      <c r="B11" s="8" t="s">
        <v>513</v>
      </c>
      <c r="C11" s="9" t="s">
        <v>497</v>
      </c>
      <c r="D11" s="9" t="s">
        <v>77</v>
      </c>
      <c r="E11" s="9" t="s">
        <v>54</v>
      </c>
      <c r="F11" s="9"/>
      <c r="G11" s="9"/>
      <c r="H11" s="9"/>
      <c r="I11" s="9"/>
      <c r="J11" s="9" t="s">
        <v>510</v>
      </c>
      <c r="K11" s="9"/>
      <c r="L11" s="9"/>
    </row>
    <row r="12" customFormat="false" ht="15" hidden="false" customHeight="true" outlineLevel="0" collapsed="false">
      <c r="A12" s="8" t="s">
        <v>514</v>
      </c>
      <c r="B12" s="8" t="s">
        <v>515</v>
      </c>
      <c r="C12" s="9" t="s">
        <v>497</v>
      </c>
      <c r="D12" s="9" t="s">
        <v>96</v>
      </c>
      <c r="E12" s="9" t="s">
        <v>54</v>
      </c>
      <c r="F12" s="9"/>
      <c r="G12" s="9"/>
      <c r="H12" s="9"/>
      <c r="I12" s="9"/>
      <c r="J12" s="9" t="s">
        <v>512</v>
      </c>
      <c r="K12" s="9"/>
      <c r="L12" s="9"/>
    </row>
    <row r="13" customFormat="false" ht="15" hidden="false" customHeight="true" outlineLevel="0" collapsed="false">
      <c r="A13" s="8" t="s">
        <v>516</v>
      </c>
      <c r="B13" s="8" t="s">
        <v>517</v>
      </c>
      <c r="C13" s="9" t="s">
        <v>518</v>
      </c>
      <c r="D13" s="9" t="s">
        <v>77</v>
      </c>
      <c r="E13" s="9" t="s">
        <v>54</v>
      </c>
      <c r="F13" s="9"/>
      <c r="G13" s="9"/>
      <c r="H13" s="9"/>
      <c r="I13" s="9"/>
      <c r="J13" s="9" t="s">
        <v>78</v>
      </c>
      <c r="K13" s="9"/>
      <c r="L13" s="9"/>
    </row>
    <row r="14" customFormat="false" ht="15" hidden="false" customHeight="true" outlineLevel="0" collapsed="false">
      <c r="A14" s="8" t="s">
        <v>519</v>
      </c>
      <c r="B14" s="8" t="s">
        <v>520</v>
      </c>
      <c r="C14" s="9" t="s">
        <v>518</v>
      </c>
      <c r="D14" s="9" t="s">
        <v>77</v>
      </c>
      <c r="E14" s="9" t="s">
        <v>54</v>
      </c>
      <c r="F14" s="9"/>
      <c r="G14" s="9"/>
      <c r="H14" s="9"/>
      <c r="I14" s="9"/>
      <c r="J14" s="9" t="s">
        <v>516</v>
      </c>
      <c r="K14" s="9"/>
      <c r="L14" s="9"/>
    </row>
    <row r="15" customFormat="false" ht="15" hidden="false" customHeight="true" outlineLevel="0" collapsed="false">
      <c r="A15" s="8" t="s">
        <v>521</v>
      </c>
      <c r="B15" s="8" t="s">
        <v>522</v>
      </c>
      <c r="C15" s="9" t="s">
        <v>518</v>
      </c>
      <c r="D15" s="9" t="s">
        <v>77</v>
      </c>
      <c r="E15" s="9" t="s">
        <v>54</v>
      </c>
      <c r="F15" s="9"/>
      <c r="G15" s="9"/>
      <c r="H15" s="9"/>
      <c r="I15" s="9"/>
      <c r="J15" s="9" t="s">
        <v>519</v>
      </c>
      <c r="K15" s="9" t="s">
        <v>523</v>
      </c>
      <c r="L15" s="9"/>
    </row>
    <row r="16" customFormat="false" ht="15" hidden="false" customHeight="true" outlineLevel="0" collapsed="false">
      <c r="A16" s="8" t="s">
        <v>524</v>
      </c>
      <c r="B16" s="8" t="s">
        <v>525</v>
      </c>
      <c r="C16" s="9" t="s">
        <v>518</v>
      </c>
      <c r="D16" s="9" t="s">
        <v>77</v>
      </c>
      <c r="E16" s="9" t="s">
        <v>54</v>
      </c>
      <c r="F16" s="9"/>
      <c r="G16" s="9"/>
      <c r="H16" s="9"/>
      <c r="I16" s="9"/>
      <c r="J16" s="9" t="s">
        <v>521</v>
      </c>
      <c r="K16" s="9" t="s">
        <v>526</v>
      </c>
      <c r="L16" s="9"/>
    </row>
    <row r="17" customFormat="false" ht="15" hidden="false" customHeight="true" outlineLevel="0" collapsed="false">
      <c r="A17" s="8" t="s">
        <v>527</v>
      </c>
      <c r="B17" s="8" t="s">
        <v>528</v>
      </c>
      <c r="C17" s="9" t="s">
        <v>518</v>
      </c>
      <c r="D17" s="9" t="s">
        <v>77</v>
      </c>
      <c r="E17" s="9" t="s">
        <v>54</v>
      </c>
      <c r="F17" s="9"/>
      <c r="G17" s="9"/>
      <c r="H17" s="9"/>
      <c r="I17" s="9"/>
      <c r="J17" s="9" t="s">
        <v>524</v>
      </c>
      <c r="K17" s="9"/>
      <c r="L17" s="9"/>
    </row>
    <row r="18" customFormat="false" ht="15" hidden="false" customHeight="true" outlineLevel="0" collapsed="false">
      <c r="A18" s="8" t="s">
        <v>529</v>
      </c>
      <c r="B18" s="8" t="s">
        <v>530</v>
      </c>
      <c r="C18" s="9" t="s">
        <v>518</v>
      </c>
      <c r="D18" s="9" t="s">
        <v>77</v>
      </c>
      <c r="E18" s="9" t="s">
        <v>54</v>
      </c>
      <c r="F18" s="9"/>
      <c r="G18" s="9"/>
      <c r="H18" s="9"/>
      <c r="I18" s="9"/>
      <c r="J18" s="9" t="s">
        <v>527</v>
      </c>
      <c r="K18" s="9"/>
      <c r="L18" s="9"/>
    </row>
    <row r="19" customFormat="false" ht="15" hidden="false" customHeight="true" outlineLevel="0" collapsed="false">
      <c r="A19" s="8" t="s">
        <v>531</v>
      </c>
      <c r="B19" s="8" t="s">
        <v>532</v>
      </c>
      <c r="C19" s="9" t="s">
        <v>518</v>
      </c>
      <c r="D19" s="9" t="s">
        <v>96</v>
      </c>
      <c r="E19" s="9" t="s">
        <v>54</v>
      </c>
      <c r="F19" s="9"/>
      <c r="G19" s="9"/>
      <c r="H19" s="9"/>
      <c r="I19" s="9"/>
      <c r="J19" s="9" t="s">
        <v>529</v>
      </c>
      <c r="K19" s="9"/>
      <c r="L19" s="9"/>
    </row>
    <row r="20" customFormat="false" ht="15" hidden="false" customHeight="true" outlineLevel="0" collapsed="false">
      <c r="A20" s="8" t="s">
        <v>533</v>
      </c>
      <c r="B20" s="8" t="s">
        <v>534</v>
      </c>
      <c r="C20" s="9" t="s">
        <v>535</v>
      </c>
      <c r="D20" s="9" t="s">
        <v>77</v>
      </c>
      <c r="E20" s="9" t="s">
        <v>54</v>
      </c>
      <c r="F20" s="9"/>
      <c r="G20" s="9"/>
      <c r="H20" s="9"/>
      <c r="I20" s="9"/>
      <c r="J20" s="9" t="s">
        <v>78</v>
      </c>
      <c r="K20" s="9"/>
      <c r="L20" s="9"/>
    </row>
    <row r="21" customFormat="false" ht="15" hidden="false" customHeight="true" outlineLevel="0" collapsed="false">
      <c r="A21" s="8" t="s">
        <v>536</v>
      </c>
      <c r="B21" s="8" t="s">
        <v>537</v>
      </c>
      <c r="C21" s="9" t="s">
        <v>535</v>
      </c>
      <c r="D21" s="9" t="s">
        <v>77</v>
      </c>
      <c r="E21" s="9" t="s">
        <v>54</v>
      </c>
      <c r="F21" s="9"/>
      <c r="G21" s="9"/>
      <c r="H21" s="9"/>
      <c r="I21" s="9"/>
      <c r="J21" s="9" t="s">
        <v>533</v>
      </c>
      <c r="K21" s="9"/>
      <c r="L21" s="9"/>
    </row>
    <row r="22" customFormat="false" ht="15" hidden="false" customHeight="true" outlineLevel="0" collapsed="false">
      <c r="A22" s="8" t="s">
        <v>538</v>
      </c>
      <c r="B22" s="8" t="s">
        <v>539</v>
      </c>
      <c r="C22" s="9" t="s">
        <v>535</v>
      </c>
      <c r="D22" s="9" t="s">
        <v>77</v>
      </c>
      <c r="E22" s="9" t="s">
        <v>54</v>
      </c>
      <c r="F22" s="9"/>
      <c r="G22" s="9"/>
      <c r="H22" s="9"/>
      <c r="I22" s="9"/>
      <c r="J22" s="9" t="s">
        <v>536</v>
      </c>
      <c r="K22" s="9" t="s">
        <v>540</v>
      </c>
      <c r="L22" s="9"/>
    </row>
    <row r="23" customFormat="false" ht="15" hidden="false" customHeight="true" outlineLevel="0" collapsed="false">
      <c r="A23" s="8" t="s">
        <v>541</v>
      </c>
      <c r="B23" s="8" t="s">
        <v>542</v>
      </c>
      <c r="C23" s="9" t="s">
        <v>535</v>
      </c>
      <c r="D23" s="9" t="s">
        <v>77</v>
      </c>
      <c r="E23" s="9" t="s">
        <v>54</v>
      </c>
      <c r="F23" s="9"/>
      <c r="G23" s="9"/>
      <c r="H23" s="9"/>
      <c r="I23" s="9"/>
      <c r="J23" s="9" t="s">
        <v>538</v>
      </c>
      <c r="K23" s="9"/>
      <c r="L23" s="9"/>
    </row>
    <row r="24" customFormat="false" ht="15" hidden="false" customHeight="true" outlineLevel="0" collapsed="false">
      <c r="A24" s="8" t="s">
        <v>543</v>
      </c>
      <c r="B24" s="8" t="s">
        <v>544</v>
      </c>
      <c r="C24" s="9" t="s">
        <v>535</v>
      </c>
      <c r="D24" s="9" t="s">
        <v>77</v>
      </c>
      <c r="E24" s="9" t="s">
        <v>54</v>
      </c>
      <c r="F24" s="9"/>
      <c r="G24" s="9"/>
      <c r="H24" s="9"/>
      <c r="I24" s="9"/>
      <c r="J24" s="9" t="s">
        <v>541</v>
      </c>
      <c r="K24" s="9"/>
      <c r="L24" s="9"/>
    </row>
    <row r="25" customFormat="false" ht="15" hidden="false" customHeight="true" outlineLevel="0" collapsed="false">
      <c r="A25" s="8" t="s">
        <v>545</v>
      </c>
      <c r="B25" s="8" t="s">
        <v>546</v>
      </c>
      <c r="C25" s="9" t="s">
        <v>535</v>
      </c>
      <c r="D25" s="9" t="s">
        <v>77</v>
      </c>
      <c r="E25" s="9" t="s">
        <v>54</v>
      </c>
      <c r="F25" s="9"/>
      <c r="G25" s="9"/>
      <c r="H25" s="9"/>
      <c r="I25" s="9"/>
      <c r="J25" s="9" t="s">
        <v>543</v>
      </c>
      <c r="K25" s="9"/>
      <c r="L25" s="9"/>
    </row>
    <row r="26" customFormat="false" ht="15" hidden="false" customHeight="true" outlineLevel="0" collapsed="false">
      <c r="A26" s="8" t="s">
        <v>547</v>
      </c>
      <c r="B26" s="8" t="s">
        <v>548</v>
      </c>
      <c r="C26" s="9" t="s">
        <v>535</v>
      </c>
      <c r="D26" s="9" t="s">
        <v>77</v>
      </c>
      <c r="E26" s="9" t="s">
        <v>54</v>
      </c>
      <c r="F26" s="9"/>
      <c r="G26" s="9"/>
      <c r="H26" s="9"/>
      <c r="I26" s="9"/>
      <c r="J26" s="9" t="s">
        <v>545</v>
      </c>
      <c r="K26" s="9"/>
      <c r="L26" s="9"/>
    </row>
    <row r="27" customFormat="false" ht="15" hidden="false" customHeight="true" outlineLevel="0" collapsed="false">
      <c r="A27" s="8" t="s">
        <v>549</v>
      </c>
      <c r="B27" s="8" t="s">
        <v>550</v>
      </c>
      <c r="C27" s="9" t="s">
        <v>535</v>
      </c>
      <c r="D27" s="9" t="s">
        <v>77</v>
      </c>
      <c r="E27" s="9" t="s">
        <v>54</v>
      </c>
      <c r="F27" s="9"/>
      <c r="G27" s="9"/>
      <c r="H27" s="9"/>
      <c r="I27" s="9"/>
      <c r="J27" s="9" t="s">
        <v>547</v>
      </c>
      <c r="K27" s="9"/>
      <c r="L27" s="9"/>
    </row>
    <row r="28" customFormat="false" ht="15" hidden="false" customHeight="true" outlineLevel="0" collapsed="false">
      <c r="A28" s="8" t="s">
        <v>551</v>
      </c>
      <c r="B28" s="8" t="s">
        <v>552</v>
      </c>
      <c r="C28" s="9" t="s">
        <v>535</v>
      </c>
      <c r="D28" s="9" t="s">
        <v>96</v>
      </c>
      <c r="E28" s="9" t="s">
        <v>54</v>
      </c>
      <c r="F28" s="9"/>
      <c r="G28" s="9"/>
      <c r="H28" s="9"/>
      <c r="I28" s="9"/>
      <c r="J28" s="9" t="s">
        <v>549</v>
      </c>
      <c r="K28" s="9" t="s">
        <v>553</v>
      </c>
      <c r="L28" s="9"/>
    </row>
    <row r="29" customFormat="false" ht="15" hidden="false" customHeight="true" outlineLevel="0" collapsed="false">
      <c r="A29" s="8" t="s">
        <v>554</v>
      </c>
      <c r="B29" s="8" t="s">
        <v>555</v>
      </c>
      <c r="C29" s="9" t="s">
        <v>380</v>
      </c>
      <c r="D29" s="9" t="s">
        <v>77</v>
      </c>
      <c r="E29" s="9" t="s">
        <v>54</v>
      </c>
      <c r="F29" s="9"/>
      <c r="G29" s="9"/>
      <c r="H29" s="9"/>
      <c r="I29" s="9"/>
      <c r="J29" s="9" t="s">
        <v>514</v>
      </c>
      <c r="K29" s="9"/>
      <c r="L29" s="9"/>
    </row>
    <row r="30" customFormat="false" ht="15" hidden="false" customHeight="true" outlineLevel="0" collapsed="false">
      <c r="A30" s="8" t="s">
        <v>556</v>
      </c>
      <c r="B30" s="8" t="s">
        <v>557</v>
      </c>
      <c r="C30" s="9" t="s">
        <v>380</v>
      </c>
      <c r="D30" s="9" t="s">
        <v>77</v>
      </c>
      <c r="E30" s="9" t="s">
        <v>54</v>
      </c>
      <c r="F30" s="9"/>
      <c r="G30" s="9"/>
      <c r="H30" s="9"/>
      <c r="I30" s="9"/>
      <c r="J30" s="9" t="s">
        <v>554</v>
      </c>
      <c r="K30" s="9"/>
      <c r="L30" s="9"/>
    </row>
    <row r="31" customFormat="false" ht="15" hidden="false" customHeight="true" outlineLevel="0" collapsed="false">
      <c r="A31" s="8" t="s">
        <v>558</v>
      </c>
      <c r="B31" s="8" t="s">
        <v>559</v>
      </c>
      <c r="C31" s="9" t="s">
        <v>380</v>
      </c>
      <c r="D31" s="9" t="s">
        <v>77</v>
      </c>
      <c r="E31" s="9" t="s">
        <v>54</v>
      </c>
      <c r="F31" s="9"/>
      <c r="G31" s="9"/>
      <c r="H31" s="9"/>
      <c r="I31" s="9"/>
      <c r="J31" s="9" t="s">
        <v>556</v>
      </c>
      <c r="K31" s="9" t="s">
        <v>560</v>
      </c>
      <c r="L31" s="9"/>
    </row>
    <row r="32" customFormat="false" ht="15" hidden="false" customHeight="true" outlineLevel="0" collapsed="false">
      <c r="A32" s="8" t="s">
        <v>561</v>
      </c>
      <c r="B32" s="8" t="s">
        <v>562</v>
      </c>
      <c r="C32" s="9" t="s">
        <v>380</v>
      </c>
      <c r="D32" s="9" t="s">
        <v>77</v>
      </c>
      <c r="E32" s="9" t="s">
        <v>54</v>
      </c>
      <c r="F32" s="9"/>
      <c r="G32" s="9"/>
      <c r="H32" s="9"/>
      <c r="I32" s="9"/>
      <c r="J32" s="9" t="s">
        <v>558</v>
      </c>
      <c r="K32" s="9"/>
      <c r="L32" s="9"/>
    </row>
    <row r="33" customFormat="false" ht="15" hidden="false" customHeight="true" outlineLevel="0" collapsed="false">
      <c r="A33" s="8" t="s">
        <v>563</v>
      </c>
      <c r="B33" s="8" t="s">
        <v>564</v>
      </c>
      <c r="C33" s="9" t="s">
        <v>380</v>
      </c>
      <c r="D33" s="9" t="s">
        <v>77</v>
      </c>
      <c r="E33" s="9" t="s">
        <v>54</v>
      </c>
      <c r="F33" s="9"/>
      <c r="G33" s="9"/>
      <c r="H33" s="9"/>
      <c r="I33" s="9"/>
      <c r="J33" s="9" t="s">
        <v>561</v>
      </c>
      <c r="K33" s="9"/>
      <c r="L33" s="9"/>
    </row>
    <row r="34" customFormat="false" ht="15" hidden="false" customHeight="true" outlineLevel="0" collapsed="false">
      <c r="A34" s="8" t="s">
        <v>565</v>
      </c>
      <c r="B34" s="8" t="s">
        <v>566</v>
      </c>
      <c r="C34" s="9" t="s">
        <v>380</v>
      </c>
      <c r="D34" s="9" t="s">
        <v>77</v>
      </c>
      <c r="E34" s="9" t="s">
        <v>54</v>
      </c>
      <c r="F34" s="9"/>
      <c r="G34" s="9"/>
      <c r="H34" s="9"/>
      <c r="I34" s="9"/>
      <c r="J34" s="9" t="s">
        <v>563</v>
      </c>
      <c r="K34" s="9"/>
      <c r="L34" s="9"/>
    </row>
    <row r="35" customFormat="false" ht="15" hidden="false" customHeight="true" outlineLevel="0" collapsed="false">
      <c r="A35" s="8" t="s">
        <v>567</v>
      </c>
      <c r="B35" s="8" t="s">
        <v>568</v>
      </c>
      <c r="C35" s="9" t="s">
        <v>380</v>
      </c>
      <c r="D35" s="9" t="s">
        <v>96</v>
      </c>
      <c r="E35" s="9" t="s">
        <v>54</v>
      </c>
      <c r="F35" s="9"/>
      <c r="G35" s="9"/>
      <c r="H35" s="9"/>
      <c r="I35" s="9"/>
      <c r="J35" s="9" t="s">
        <v>565</v>
      </c>
      <c r="K35" s="9"/>
      <c r="L35" s="9"/>
    </row>
    <row r="36" customFormat="false" ht="15" hidden="false" customHeight="true" outlineLevel="0" collapsed="false">
      <c r="A36" s="8" t="s">
        <v>569</v>
      </c>
      <c r="B36" s="8" t="s">
        <v>570</v>
      </c>
      <c r="C36" s="9" t="s">
        <v>571</v>
      </c>
      <c r="D36" s="9" t="s">
        <v>77</v>
      </c>
      <c r="E36" s="9" t="s">
        <v>54</v>
      </c>
      <c r="F36" s="9"/>
      <c r="G36" s="9"/>
      <c r="H36" s="9"/>
      <c r="I36" s="9"/>
      <c r="J36" s="9" t="s">
        <v>78</v>
      </c>
      <c r="K36" s="9"/>
      <c r="L36" s="9"/>
    </row>
    <row r="37" customFormat="false" ht="15" hidden="false" customHeight="true" outlineLevel="0" collapsed="false">
      <c r="A37" s="8" t="s">
        <v>572</v>
      </c>
      <c r="B37" s="8" t="s">
        <v>573</v>
      </c>
      <c r="C37" s="9" t="s">
        <v>571</v>
      </c>
      <c r="D37" s="9" t="s">
        <v>77</v>
      </c>
      <c r="E37" s="9" t="s">
        <v>54</v>
      </c>
      <c r="F37" s="9"/>
      <c r="G37" s="9"/>
      <c r="H37" s="9"/>
      <c r="I37" s="9"/>
      <c r="J37" s="9" t="s">
        <v>569</v>
      </c>
      <c r="K37" s="9"/>
      <c r="L37" s="9"/>
    </row>
    <row r="38" customFormat="false" ht="15" hidden="false" customHeight="true" outlineLevel="0" collapsed="false">
      <c r="A38" s="8" t="s">
        <v>574</v>
      </c>
      <c r="B38" s="8" t="s">
        <v>575</v>
      </c>
      <c r="C38" s="9" t="s">
        <v>571</v>
      </c>
      <c r="D38" s="9" t="s">
        <v>77</v>
      </c>
      <c r="E38" s="9" t="s">
        <v>54</v>
      </c>
      <c r="F38" s="9"/>
      <c r="G38" s="9"/>
      <c r="H38" s="9"/>
      <c r="I38" s="9"/>
      <c r="J38" s="9" t="s">
        <v>572</v>
      </c>
      <c r="K38" s="9"/>
      <c r="L38" s="9"/>
    </row>
    <row r="39" customFormat="false" ht="15" hidden="false" customHeight="true" outlineLevel="0" collapsed="false">
      <c r="A39" s="8" t="s">
        <v>576</v>
      </c>
      <c r="B39" s="8" t="s">
        <v>577</v>
      </c>
      <c r="C39" s="9" t="s">
        <v>571</v>
      </c>
      <c r="D39" s="9" t="s">
        <v>96</v>
      </c>
      <c r="E39" s="9" t="s">
        <v>54</v>
      </c>
      <c r="F39" s="9"/>
      <c r="G39" s="9"/>
      <c r="H39" s="9"/>
      <c r="I39" s="9"/>
      <c r="J39" s="9" t="s">
        <v>574</v>
      </c>
      <c r="K39" s="9"/>
      <c r="L39" s="9"/>
    </row>
    <row r="40" customFormat="false" ht="15" hidden="false" customHeight="true" outlineLevel="0" collapsed="false">
      <c r="A40" s="8" t="s">
        <v>578</v>
      </c>
      <c r="B40" s="8" t="s">
        <v>579</v>
      </c>
      <c r="C40" s="9" t="s">
        <v>571</v>
      </c>
      <c r="D40" s="9" t="s">
        <v>77</v>
      </c>
      <c r="E40" s="9" t="s">
        <v>54</v>
      </c>
      <c r="F40" s="9"/>
      <c r="G40" s="9"/>
      <c r="H40" s="9"/>
      <c r="I40" s="9"/>
      <c r="J40" s="9" t="s">
        <v>574</v>
      </c>
      <c r="K40" s="9"/>
      <c r="L40" s="9"/>
    </row>
    <row r="41" customFormat="false" ht="15" hidden="false" customHeight="true" outlineLevel="0" collapsed="false">
      <c r="A41" s="8" t="s">
        <v>580</v>
      </c>
      <c r="B41" s="8" t="s">
        <v>581</v>
      </c>
      <c r="C41" s="9" t="s">
        <v>571</v>
      </c>
      <c r="D41" s="9" t="s">
        <v>77</v>
      </c>
      <c r="E41" s="9" t="s">
        <v>54</v>
      </c>
      <c r="F41" s="9"/>
      <c r="G41" s="9"/>
      <c r="H41" s="9"/>
      <c r="I41" s="9"/>
      <c r="J41" s="9" t="s">
        <v>578</v>
      </c>
      <c r="K41" s="9"/>
      <c r="L41" s="9"/>
    </row>
    <row r="42" customFormat="false" ht="15" hidden="false" customHeight="true" outlineLevel="0" collapsed="false">
      <c r="A42" s="8" t="s">
        <v>582</v>
      </c>
      <c r="B42" s="8" t="s">
        <v>583</v>
      </c>
      <c r="C42" s="9" t="s">
        <v>571</v>
      </c>
      <c r="D42" s="9" t="s">
        <v>77</v>
      </c>
      <c r="E42" s="9" t="s">
        <v>54</v>
      </c>
      <c r="F42" s="9"/>
      <c r="G42" s="9"/>
      <c r="H42" s="9"/>
      <c r="I42" s="9"/>
      <c r="J42" s="9" t="s">
        <v>580</v>
      </c>
      <c r="K42" s="9"/>
      <c r="L42" s="9"/>
    </row>
    <row r="43" customFormat="false" ht="15" hidden="false" customHeight="true" outlineLevel="0" collapsed="false">
      <c r="A43" s="8" t="s">
        <v>584</v>
      </c>
      <c r="B43" s="8" t="s">
        <v>585</v>
      </c>
      <c r="C43" s="9" t="s">
        <v>571</v>
      </c>
      <c r="D43" s="9" t="s">
        <v>77</v>
      </c>
      <c r="E43" s="9" t="s">
        <v>54</v>
      </c>
      <c r="F43" s="9"/>
      <c r="G43" s="9"/>
      <c r="H43" s="9"/>
      <c r="I43" s="9"/>
      <c r="J43" s="9" t="s">
        <v>582</v>
      </c>
      <c r="K43" s="9"/>
      <c r="L43" s="9"/>
    </row>
    <row r="44" customFormat="false" ht="15" hidden="false" customHeight="true" outlineLevel="0" collapsed="false">
      <c r="A44" s="8" t="s">
        <v>586</v>
      </c>
      <c r="B44" s="8" t="s">
        <v>587</v>
      </c>
      <c r="C44" s="9" t="s">
        <v>588</v>
      </c>
      <c r="D44" s="9" t="s">
        <v>77</v>
      </c>
      <c r="E44" s="9" t="s">
        <v>54</v>
      </c>
      <c r="F44" s="9"/>
      <c r="G44" s="9"/>
      <c r="H44" s="9"/>
      <c r="I44" s="9"/>
      <c r="J44" s="9" t="s">
        <v>78</v>
      </c>
      <c r="K44" s="9"/>
      <c r="L44" s="9"/>
    </row>
    <row r="45" customFormat="false" ht="15" hidden="false" customHeight="true" outlineLevel="0" collapsed="false">
      <c r="A45" s="8" t="s">
        <v>589</v>
      </c>
      <c r="B45" s="8" t="s">
        <v>590</v>
      </c>
      <c r="C45" s="9" t="s">
        <v>588</v>
      </c>
      <c r="D45" s="9" t="s">
        <v>77</v>
      </c>
      <c r="E45" s="9" t="s">
        <v>54</v>
      </c>
      <c r="F45" s="9"/>
      <c r="G45" s="9"/>
      <c r="H45" s="9"/>
      <c r="I45" s="9"/>
      <c r="J45" s="9" t="s">
        <v>586</v>
      </c>
      <c r="K45" s="9"/>
      <c r="L45" s="9"/>
    </row>
    <row r="46" customFormat="false" ht="15" hidden="false" customHeight="true" outlineLevel="0" collapsed="false">
      <c r="A46" s="8" t="s">
        <v>591</v>
      </c>
      <c r="B46" s="8" t="s">
        <v>592</v>
      </c>
      <c r="C46" s="9" t="s">
        <v>588</v>
      </c>
      <c r="D46" s="9" t="s">
        <v>96</v>
      </c>
      <c r="E46" s="9" t="s">
        <v>54</v>
      </c>
      <c r="F46" s="9"/>
      <c r="G46" s="9"/>
      <c r="H46" s="9"/>
      <c r="I46" s="9"/>
      <c r="J46" s="9" t="s">
        <v>589</v>
      </c>
      <c r="K46" s="9"/>
      <c r="L46" s="9"/>
    </row>
    <row r="47" customFormat="false" ht="15" hidden="false" customHeight="true" outlineLevel="0" collapsed="false">
      <c r="A47" s="8" t="s">
        <v>593</v>
      </c>
      <c r="B47" s="8" t="s">
        <v>594</v>
      </c>
      <c r="C47" s="9" t="s">
        <v>588</v>
      </c>
      <c r="D47" s="9" t="s">
        <v>77</v>
      </c>
      <c r="E47" s="9" t="s">
        <v>54</v>
      </c>
      <c r="F47" s="9"/>
      <c r="G47" s="9"/>
      <c r="H47" s="9"/>
      <c r="I47" s="9"/>
      <c r="J47" s="9" t="s">
        <v>591</v>
      </c>
      <c r="K47" s="9" t="s">
        <v>103</v>
      </c>
      <c r="L47" s="9"/>
    </row>
    <row r="48" customFormat="false" ht="15" hidden="false" customHeight="true" outlineLevel="0" collapsed="false">
      <c r="A48" s="8" t="s">
        <v>595</v>
      </c>
      <c r="B48" s="8" t="s">
        <v>596</v>
      </c>
      <c r="C48" s="9" t="s">
        <v>588</v>
      </c>
      <c r="D48" s="9" t="s">
        <v>77</v>
      </c>
      <c r="E48" s="9" t="s">
        <v>54</v>
      </c>
      <c r="F48" s="9"/>
      <c r="G48" s="9"/>
      <c r="H48" s="9"/>
      <c r="I48" s="9"/>
      <c r="J48" s="9" t="s">
        <v>593</v>
      </c>
      <c r="K48" s="9"/>
      <c r="L48" s="9"/>
    </row>
    <row r="49" customFormat="false" ht="15" hidden="false" customHeight="true" outlineLevel="0" collapsed="false">
      <c r="A49" s="8" t="s">
        <v>597</v>
      </c>
      <c r="B49" s="8" t="s">
        <v>598</v>
      </c>
      <c r="C49" s="9" t="s">
        <v>588</v>
      </c>
      <c r="D49" s="9" t="s">
        <v>77</v>
      </c>
      <c r="E49" s="9" t="s">
        <v>54</v>
      </c>
      <c r="F49" s="9"/>
      <c r="G49" s="9"/>
      <c r="H49" s="9"/>
      <c r="I49" s="9"/>
      <c r="J49" s="9" t="s">
        <v>595</v>
      </c>
      <c r="K49" s="9"/>
      <c r="L49" s="9"/>
    </row>
    <row r="50" customFormat="false" ht="15" hidden="false" customHeight="true" outlineLevel="0" collapsed="false">
      <c r="A50" s="8" t="s">
        <v>599</v>
      </c>
      <c r="B50" s="8" t="s">
        <v>600</v>
      </c>
      <c r="C50" s="9" t="s">
        <v>601</v>
      </c>
      <c r="D50" s="9" t="s">
        <v>77</v>
      </c>
      <c r="E50" s="9" t="s">
        <v>54</v>
      </c>
      <c r="F50" s="9"/>
      <c r="G50" s="9"/>
      <c r="H50" s="9"/>
      <c r="I50" s="9"/>
      <c r="J50" s="9" t="s">
        <v>597</v>
      </c>
      <c r="K50" s="9"/>
      <c r="L50" s="9"/>
    </row>
    <row r="51" customFormat="false" ht="15" hidden="false" customHeight="true" outlineLevel="0" collapsed="false">
      <c r="A51" s="8" t="s">
        <v>602</v>
      </c>
      <c r="B51" s="8" t="s">
        <v>603</v>
      </c>
      <c r="C51" s="9" t="s">
        <v>601</v>
      </c>
      <c r="D51" s="9" t="s">
        <v>77</v>
      </c>
      <c r="E51" s="9" t="s">
        <v>54</v>
      </c>
      <c r="F51" s="9"/>
      <c r="G51" s="9"/>
      <c r="H51" s="9"/>
      <c r="I51" s="9"/>
      <c r="J51" s="9" t="s">
        <v>599</v>
      </c>
      <c r="K51" s="9"/>
      <c r="L51" s="9"/>
    </row>
    <row r="52" customFormat="false" ht="15" hidden="false" customHeight="true" outlineLevel="0" collapsed="false">
      <c r="A52" s="8" t="s">
        <v>604</v>
      </c>
      <c r="B52" s="8" t="s">
        <v>605</v>
      </c>
      <c r="C52" s="9" t="s">
        <v>601</v>
      </c>
      <c r="D52" s="9" t="s">
        <v>77</v>
      </c>
      <c r="E52" s="9" t="s">
        <v>54</v>
      </c>
      <c r="F52" s="9"/>
      <c r="G52" s="9"/>
      <c r="H52" s="9"/>
      <c r="I52" s="9"/>
      <c r="J52" s="9" t="s">
        <v>602</v>
      </c>
      <c r="K52" s="9" t="s">
        <v>606</v>
      </c>
      <c r="L52" s="9"/>
    </row>
    <row r="53" customFormat="false" ht="15" hidden="false" customHeight="true" outlineLevel="0" collapsed="false">
      <c r="A53" s="8" t="s">
        <v>607</v>
      </c>
      <c r="B53" s="8" t="s">
        <v>608</v>
      </c>
      <c r="C53" s="9" t="s">
        <v>601</v>
      </c>
      <c r="D53" s="9" t="s">
        <v>77</v>
      </c>
      <c r="E53" s="9" t="s">
        <v>54</v>
      </c>
      <c r="F53" s="9"/>
      <c r="G53" s="9"/>
      <c r="H53" s="9"/>
      <c r="I53" s="9"/>
      <c r="J53" s="9" t="s">
        <v>604</v>
      </c>
      <c r="K53" s="9"/>
      <c r="L53" s="9"/>
    </row>
    <row r="54" customFormat="false" ht="15" hidden="false" customHeight="true" outlineLevel="0" collapsed="false">
      <c r="A54" s="8" t="s">
        <v>609</v>
      </c>
      <c r="B54" s="8" t="s">
        <v>610</v>
      </c>
      <c r="C54" s="9" t="s">
        <v>601</v>
      </c>
      <c r="D54" s="9" t="s">
        <v>77</v>
      </c>
      <c r="E54" s="9" t="s">
        <v>54</v>
      </c>
      <c r="F54" s="9"/>
      <c r="G54" s="9"/>
      <c r="H54" s="9"/>
      <c r="I54" s="9"/>
      <c r="J54" s="9" t="s">
        <v>607</v>
      </c>
      <c r="K54" s="9" t="s">
        <v>103</v>
      </c>
      <c r="L54" s="9"/>
    </row>
    <row r="55" customFormat="false" ht="15" hidden="false" customHeight="true" outlineLevel="0" collapsed="false">
      <c r="A55" s="8" t="s">
        <v>611</v>
      </c>
      <c r="B55" s="8" t="s">
        <v>612</v>
      </c>
      <c r="C55" s="9" t="s">
        <v>601</v>
      </c>
      <c r="D55" s="9" t="s">
        <v>77</v>
      </c>
      <c r="E55" s="9" t="s">
        <v>54</v>
      </c>
      <c r="F55" s="9"/>
      <c r="G55" s="9"/>
      <c r="H55" s="9"/>
      <c r="I55" s="9"/>
      <c r="J55" s="9" t="s">
        <v>609</v>
      </c>
      <c r="K55" s="9"/>
      <c r="L55" s="9"/>
    </row>
    <row r="56" customFormat="false" ht="15" hidden="false" customHeight="true" outlineLevel="0" collapsed="false">
      <c r="A56" s="8" t="s">
        <v>613</v>
      </c>
      <c r="B56" s="8" t="s">
        <v>614</v>
      </c>
      <c r="C56" s="9" t="s">
        <v>615</v>
      </c>
      <c r="D56" s="9" t="s">
        <v>77</v>
      </c>
      <c r="E56" s="9" t="s">
        <v>54</v>
      </c>
      <c r="F56" s="9"/>
      <c r="G56" s="9"/>
      <c r="H56" s="9"/>
      <c r="I56" s="9"/>
      <c r="J56" s="9" t="s">
        <v>78</v>
      </c>
      <c r="K56" s="9"/>
      <c r="L56" s="9"/>
    </row>
    <row r="57" customFormat="false" ht="15" hidden="false" customHeight="true" outlineLevel="0" collapsed="false">
      <c r="A57" s="8" t="s">
        <v>616</v>
      </c>
      <c r="B57" s="8" t="s">
        <v>617</v>
      </c>
      <c r="C57" s="9" t="s">
        <v>615</v>
      </c>
      <c r="D57" s="9" t="s">
        <v>77</v>
      </c>
      <c r="E57" s="9" t="s">
        <v>54</v>
      </c>
      <c r="F57" s="9"/>
      <c r="G57" s="9"/>
      <c r="H57" s="9"/>
      <c r="I57" s="9"/>
      <c r="J57" s="9" t="s">
        <v>613</v>
      </c>
      <c r="K57" s="9"/>
      <c r="L57" s="9"/>
    </row>
    <row r="58" customFormat="false" ht="15" hidden="false" customHeight="true" outlineLevel="0" collapsed="false">
      <c r="A58" s="8" t="s">
        <v>618</v>
      </c>
      <c r="B58" s="8" t="s">
        <v>619</v>
      </c>
      <c r="C58" s="9" t="s">
        <v>615</v>
      </c>
      <c r="D58" s="9" t="s">
        <v>77</v>
      </c>
      <c r="E58" s="9" t="s">
        <v>54</v>
      </c>
      <c r="F58" s="9"/>
      <c r="G58" s="9"/>
      <c r="H58" s="9"/>
      <c r="I58" s="9"/>
      <c r="J58" s="9" t="s">
        <v>616</v>
      </c>
      <c r="K58" s="9"/>
      <c r="L58" s="9"/>
    </row>
    <row r="59" customFormat="false" ht="15" hidden="false" customHeight="true" outlineLevel="0" collapsed="false">
      <c r="A59" s="8" t="s">
        <v>620</v>
      </c>
      <c r="B59" s="8" t="s">
        <v>621</v>
      </c>
      <c r="C59" s="9" t="s">
        <v>615</v>
      </c>
      <c r="D59" s="9" t="s">
        <v>77</v>
      </c>
      <c r="E59" s="9" t="s">
        <v>54</v>
      </c>
      <c r="F59" s="9"/>
      <c r="G59" s="9"/>
      <c r="H59" s="9"/>
      <c r="I59" s="9"/>
      <c r="J59" s="9" t="s">
        <v>618</v>
      </c>
      <c r="K59" s="9"/>
      <c r="L59" s="9"/>
    </row>
    <row r="60" customFormat="false" ht="15" hidden="false" customHeight="true" outlineLevel="0" collapsed="false">
      <c r="A60" s="8" t="s">
        <v>622</v>
      </c>
      <c r="B60" s="8" t="s">
        <v>623</v>
      </c>
      <c r="C60" s="9" t="s">
        <v>615</v>
      </c>
      <c r="D60" s="9" t="s">
        <v>77</v>
      </c>
      <c r="E60" s="9" t="s">
        <v>54</v>
      </c>
      <c r="F60" s="9"/>
      <c r="G60" s="9"/>
      <c r="H60" s="9"/>
      <c r="I60" s="9"/>
      <c r="J60" s="9" t="s">
        <v>620</v>
      </c>
      <c r="K60" s="9"/>
      <c r="L60" s="9"/>
    </row>
    <row r="61" customFormat="false" ht="15" hidden="false" customHeight="true" outlineLevel="0" collapsed="false">
      <c r="A61" s="8" t="s">
        <v>624</v>
      </c>
      <c r="B61" s="8" t="s">
        <v>625</v>
      </c>
      <c r="C61" s="9" t="s">
        <v>615</v>
      </c>
      <c r="D61" s="9" t="s">
        <v>77</v>
      </c>
      <c r="E61" s="9" t="s">
        <v>54</v>
      </c>
      <c r="F61" s="9"/>
      <c r="G61" s="9"/>
      <c r="H61" s="9"/>
      <c r="I61" s="9"/>
      <c r="J61" s="9" t="s">
        <v>622</v>
      </c>
      <c r="K61" s="9"/>
      <c r="L61" s="9"/>
    </row>
    <row r="62" customFormat="false" ht="15" hidden="false" customHeight="true" outlineLevel="0" collapsed="false">
      <c r="A62" s="8" t="s">
        <v>626</v>
      </c>
      <c r="B62" s="8" t="s">
        <v>627</v>
      </c>
      <c r="C62" s="9" t="s">
        <v>615</v>
      </c>
      <c r="D62" s="9" t="s">
        <v>77</v>
      </c>
      <c r="E62" s="9" t="s">
        <v>54</v>
      </c>
      <c r="F62" s="9"/>
      <c r="G62" s="9"/>
      <c r="H62" s="9"/>
      <c r="I62" s="9"/>
      <c r="J62" s="9" t="s">
        <v>624</v>
      </c>
      <c r="K62" s="9"/>
      <c r="L62" s="9"/>
    </row>
    <row r="63" customFormat="false" ht="15" hidden="false" customHeight="true" outlineLevel="0" collapsed="false">
      <c r="A63" s="8" t="s">
        <v>628</v>
      </c>
      <c r="B63" s="8" t="s">
        <v>629</v>
      </c>
      <c r="C63" s="9" t="s">
        <v>615</v>
      </c>
      <c r="D63" s="9" t="s">
        <v>77</v>
      </c>
      <c r="E63" s="9" t="s">
        <v>54</v>
      </c>
      <c r="F63" s="9"/>
      <c r="G63" s="9"/>
      <c r="H63" s="9"/>
      <c r="I63" s="9"/>
      <c r="J63" s="9" t="s">
        <v>626</v>
      </c>
      <c r="K63" s="9"/>
      <c r="L63" s="9"/>
    </row>
    <row r="64" customFormat="false" ht="15" hidden="false" customHeight="true" outlineLevel="0" collapsed="false">
      <c r="A64" s="8" t="s">
        <v>630</v>
      </c>
      <c r="B64" s="8" t="s">
        <v>631</v>
      </c>
      <c r="C64" s="9" t="s">
        <v>615</v>
      </c>
      <c r="D64" s="9" t="s">
        <v>77</v>
      </c>
      <c r="E64" s="9" t="s">
        <v>54</v>
      </c>
      <c r="F64" s="9"/>
      <c r="G64" s="9"/>
      <c r="H64" s="9"/>
      <c r="I64" s="9"/>
      <c r="J64" s="9" t="s">
        <v>628</v>
      </c>
      <c r="K64" s="9"/>
      <c r="L64" s="9"/>
    </row>
    <row r="65" customFormat="false" ht="15" hidden="false" customHeight="true" outlineLevel="0" collapsed="false">
      <c r="A65" s="8" t="s">
        <v>632</v>
      </c>
      <c r="B65" s="8" t="s">
        <v>633</v>
      </c>
      <c r="C65" s="9" t="s">
        <v>634</v>
      </c>
      <c r="D65" s="9" t="s">
        <v>77</v>
      </c>
      <c r="E65" s="9" t="s">
        <v>54</v>
      </c>
      <c r="F65" s="9"/>
      <c r="G65" s="9"/>
      <c r="H65" s="9"/>
      <c r="I65" s="9"/>
      <c r="J65" s="9" t="s">
        <v>630</v>
      </c>
      <c r="K65" s="9"/>
      <c r="L65" s="9"/>
    </row>
    <row r="66" customFormat="false" ht="15" hidden="false" customHeight="true" outlineLevel="0" collapsed="false">
      <c r="A66" s="8" t="s">
        <v>635</v>
      </c>
      <c r="B66" s="8" t="s">
        <v>636</v>
      </c>
      <c r="C66" s="9" t="s">
        <v>634</v>
      </c>
      <c r="D66" s="9" t="s">
        <v>77</v>
      </c>
      <c r="E66" s="9" t="s">
        <v>54</v>
      </c>
      <c r="F66" s="9"/>
      <c r="G66" s="9"/>
      <c r="H66" s="9"/>
      <c r="I66" s="9"/>
      <c r="J66" s="9" t="s">
        <v>632</v>
      </c>
      <c r="K66" s="9"/>
      <c r="L66" s="9"/>
    </row>
    <row r="67" customFormat="false" ht="15" hidden="false" customHeight="true" outlineLevel="0" collapsed="false">
      <c r="A67" s="8" t="s">
        <v>637</v>
      </c>
      <c r="B67" s="8" t="s">
        <v>638</v>
      </c>
      <c r="C67" s="9" t="s">
        <v>634</v>
      </c>
      <c r="D67" s="9" t="s">
        <v>77</v>
      </c>
      <c r="E67" s="9" t="s">
        <v>54</v>
      </c>
      <c r="F67" s="9"/>
      <c r="G67" s="9"/>
      <c r="H67" s="9"/>
      <c r="I67" s="9"/>
      <c r="J67" s="9" t="s">
        <v>635</v>
      </c>
      <c r="K67" s="9"/>
      <c r="L67" s="9"/>
    </row>
    <row r="68" customFormat="false" ht="15" hidden="false" customHeight="true" outlineLevel="0" collapsed="false">
      <c r="A68" s="8" t="s">
        <v>639</v>
      </c>
      <c r="B68" s="8" t="s">
        <v>640</v>
      </c>
      <c r="C68" s="9" t="s">
        <v>634</v>
      </c>
      <c r="D68" s="9" t="s">
        <v>96</v>
      </c>
      <c r="E68" s="9" t="s">
        <v>54</v>
      </c>
      <c r="F68" s="9"/>
      <c r="G68" s="9"/>
      <c r="H68" s="9"/>
      <c r="I68" s="9"/>
      <c r="J68" s="9" t="s">
        <v>637</v>
      </c>
      <c r="K68" s="9"/>
      <c r="L68" s="9"/>
    </row>
    <row r="69" customFormat="false" ht="15" hidden="false" customHeight="true" outlineLevel="0" collapsed="false">
      <c r="A69" s="8" t="s">
        <v>641</v>
      </c>
      <c r="B69" s="8" t="s">
        <v>642</v>
      </c>
      <c r="C69" s="9" t="s">
        <v>634</v>
      </c>
      <c r="D69" s="9" t="s">
        <v>77</v>
      </c>
      <c r="E69" s="9" t="s">
        <v>54</v>
      </c>
      <c r="F69" s="9"/>
      <c r="G69" s="9"/>
      <c r="H69" s="9"/>
      <c r="I69" s="9"/>
      <c r="J69" s="9" t="s">
        <v>639</v>
      </c>
      <c r="K69" s="9"/>
      <c r="L69" s="9"/>
    </row>
    <row r="70" customFormat="false" ht="15" hidden="false" customHeight="true" outlineLevel="0" collapsed="false">
      <c r="A70" s="8" t="s">
        <v>643</v>
      </c>
      <c r="B70" s="8" t="s">
        <v>644</v>
      </c>
      <c r="C70" s="9" t="s">
        <v>645</v>
      </c>
      <c r="D70" s="9" t="s">
        <v>77</v>
      </c>
      <c r="E70" s="9" t="s">
        <v>54</v>
      </c>
      <c r="F70" s="9"/>
      <c r="G70" s="9"/>
      <c r="H70" s="9"/>
      <c r="I70" s="9"/>
      <c r="J70" s="9" t="s">
        <v>78</v>
      </c>
      <c r="K70" s="9"/>
      <c r="L70" s="9"/>
    </row>
    <row r="71" customFormat="false" ht="15" hidden="false" customHeight="true" outlineLevel="0" collapsed="false">
      <c r="A71" s="8" t="s">
        <v>646</v>
      </c>
      <c r="B71" s="8" t="s">
        <v>647</v>
      </c>
      <c r="C71" s="9" t="s">
        <v>645</v>
      </c>
      <c r="D71" s="9" t="s">
        <v>77</v>
      </c>
      <c r="E71" s="9" t="s">
        <v>54</v>
      </c>
      <c r="F71" s="9"/>
      <c r="G71" s="9"/>
      <c r="H71" s="9"/>
      <c r="I71" s="9"/>
      <c r="J71" s="9" t="s">
        <v>643</v>
      </c>
      <c r="K71" s="9"/>
      <c r="L71" s="9"/>
    </row>
    <row r="72" customFormat="false" ht="15" hidden="false" customHeight="true" outlineLevel="0" collapsed="false">
      <c r="A72" s="8" t="s">
        <v>648</v>
      </c>
      <c r="B72" s="8" t="s">
        <v>649</v>
      </c>
      <c r="C72" s="9" t="s">
        <v>645</v>
      </c>
      <c r="D72" s="9" t="s">
        <v>77</v>
      </c>
      <c r="E72" s="9" t="s">
        <v>54</v>
      </c>
      <c r="F72" s="9"/>
      <c r="G72" s="9"/>
      <c r="H72" s="9"/>
      <c r="I72" s="9"/>
      <c r="J72" s="9" t="s">
        <v>646</v>
      </c>
      <c r="K72" s="9"/>
      <c r="L72" s="9"/>
    </row>
    <row r="73" customFormat="false" ht="15" hidden="false" customHeight="true" outlineLevel="0" collapsed="false">
      <c r="A73" s="8" t="s">
        <v>650</v>
      </c>
      <c r="B73" s="8" t="s">
        <v>651</v>
      </c>
      <c r="C73" s="9" t="s">
        <v>645</v>
      </c>
      <c r="D73" s="9" t="s">
        <v>77</v>
      </c>
      <c r="E73" s="9" t="s">
        <v>54</v>
      </c>
      <c r="F73" s="9"/>
      <c r="G73" s="9"/>
      <c r="H73" s="9"/>
      <c r="I73" s="9"/>
      <c r="J73" s="9" t="s">
        <v>648</v>
      </c>
      <c r="K73" s="9"/>
      <c r="L73" s="9"/>
    </row>
    <row r="74" customFormat="false" ht="15" hidden="false" customHeight="true" outlineLevel="0" collapsed="false">
      <c r="A74" s="8" t="s">
        <v>652</v>
      </c>
      <c r="B74" s="8" t="s">
        <v>653</v>
      </c>
      <c r="C74" s="9" t="s">
        <v>645</v>
      </c>
      <c r="D74" s="9" t="s">
        <v>77</v>
      </c>
      <c r="E74" s="9" t="s">
        <v>54</v>
      </c>
      <c r="F74" s="9"/>
      <c r="G74" s="9"/>
      <c r="H74" s="9"/>
      <c r="I74" s="9"/>
      <c r="J74" s="9" t="s">
        <v>650</v>
      </c>
      <c r="K74" s="9"/>
      <c r="L74" s="9"/>
    </row>
    <row r="75" customFormat="false" ht="15" hidden="false" customHeight="true" outlineLevel="0" collapsed="false">
      <c r="A75" s="8" t="s">
        <v>654</v>
      </c>
      <c r="B75" s="8" t="s">
        <v>655</v>
      </c>
      <c r="C75" s="9" t="s">
        <v>656</v>
      </c>
      <c r="D75" s="9" t="s">
        <v>77</v>
      </c>
      <c r="E75" s="9" t="s">
        <v>54</v>
      </c>
      <c r="F75" s="9"/>
      <c r="G75" s="9"/>
      <c r="H75" s="9"/>
      <c r="I75" s="9"/>
      <c r="J75" s="9" t="s">
        <v>652</v>
      </c>
      <c r="K75" s="9"/>
      <c r="L75" s="9"/>
    </row>
    <row r="76" customFormat="false" ht="15" hidden="false" customHeight="true" outlineLevel="0" collapsed="false">
      <c r="A76" s="8" t="s">
        <v>657</v>
      </c>
      <c r="B76" s="8" t="s">
        <v>658</v>
      </c>
      <c r="C76" s="9" t="s">
        <v>656</v>
      </c>
      <c r="D76" s="9" t="s">
        <v>77</v>
      </c>
      <c r="E76" s="9" t="s">
        <v>54</v>
      </c>
      <c r="F76" s="9"/>
      <c r="G76" s="9"/>
      <c r="H76" s="9"/>
      <c r="I76" s="9"/>
      <c r="J76" s="9" t="s">
        <v>654</v>
      </c>
      <c r="K76" s="9"/>
      <c r="L76" s="9"/>
    </row>
    <row r="77" customFormat="false" ht="15" hidden="false" customHeight="true" outlineLevel="0" collapsed="false">
      <c r="A77" s="8" t="s">
        <v>659</v>
      </c>
      <c r="B77" s="8" t="s">
        <v>660</v>
      </c>
      <c r="C77" s="9" t="s">
        <v>656</v>
      </c>
      <c r="D77" s="9" t="s">
        <v>77</v>
      </c>
      <c r="E77" s="9" t="s">
        <v>54</v>
      </c>
      <c r="F77" s="9"/>
      <c r="G77" s="9"/>
      <c r="H77" s="9"/>
      <c r="I77" s="9"/>
      <c r="J77" s="9" t="s">
        <v>657</v>
      </c>
      <c r="K77" s="9"/>
      <c r="L77" s="9"/>
    </row>
    <row r="78" customFormat="false" ht="15" hidden="false" customHeight="true" outlineLevel="0" collapsed="false">
      <c r="A78" s="8" t="s">
        <v>661</v>
      </c>
      <c r="B78" s="8" t="s">
        <v>662</v>
      </c>
      <c r="C78" s="9" t="s">
        <v>656</v>
      </c>
      <c r="D78" s="9" t="s">
        <v>96</v>
      </c>
      <c r="E78" s="9" t="s">
        <v>54</v>
      </c>
      <c r="F78" s="9"/>
      <c r="G78" s="9"/>
      <c r="H78" s="9"/>
      <c r="I78" s="9"/>
      <c r="J78" s="9" t="s">
        <v>659</v>
      </c>
      <c r="K78" s="9"/>
      <c r="L78" s="9"/>
    </row>
    <row r="79" customFormat="false" ht="15" hidden="false" customHeight="true" outlineLevel="0" collapsed="false">
      <c r="A79" s="8" t="s">
        <v>663</v>
      </c>
      <c r="B79" s="8" t="s">
        <v>664</v>
      </c>
      <c r="C79" s="9" t="s">
        <v>656</v>
      </c>
      <c r="D79" s="9" t="s">
        <v>96</v>
      </c>
      <c r="E79" s="9" t="s">
        <v>54</v>
      </c>
      <c r="F79" s="9"/>
      <c r="G79" s="9"/>
      <c r="H79" s="9"/>
      <c r="I79" s="9"/>
      <c r="J79" s="9" t="s">
        <v>661</v>
      </c>
      <c r="K79" s="9"/>
      <c r="L79" s="9"/>
    </row>
    <row r="80" customFormat="false" ht="15" hidden="false" customHeight="true" outlineLevel="0" collapsed="false">
      <c r="A80" s="8" t="s">
        <v>665</v>
      </c>
      <c r="B80" s="8" t="s">
        <v>666</v>
      </c>
      <c r="C80" s="9" t="s">
        <v>367</v>
      </c>
      <c r="D80" s="9" t="s">
        <v>77</v>
      </c>
      <c r="E80" s="9" t="s">
        <v>54</v>
      </c>
      <c r="F80" s="9"/>
      <c r="G80" s="9"/>
      <c r="H80" s="9"/>
      <c r="I80" s="9"/>
      <c r="J80" s="9" t="s">
        <v>663</v>
      </c>
      <c r="K80" s="9"/>
      <c r="L80" s="9"/>
    </row>
    <row r="81" customFormat="false" ht="15" hidden="false" customHeight="true" outlineLevel="0" collapsed="false">
      <c r="A81" s="8" t="s">
        <v>667</v>
      </c>
      <c r="B81" s="8" t="s">
        <v>668</v>
      </c>
      <c r="C81" s="9" t="s">
        <v>367</v>
      </c>
      <c r="D81" s="9" t="s">
        <v>77</v>
      </c>
      <c r="E81" s="9" t="s">
        <v>54</v>
      </c>
      <c r="F81" s="9"/>
      <c r="G81" s="9"/>
      <c r="H81" s="9"/>
      <c r="I81" s="9"/>
      <c r="J81" s="9" t="s">
        <v>665</v>
      </c>
      <c r="K81" s="9"/>
      <c r="L81" s="9"/>
    </row>
    <row r="82" customFormat="false" ht="15" hidden="false" customHeight="true" outlineLevel="0" collapsed="false">
      <c r="A82" s="8" t="s">
        <v>669</v>
      </c>
      <c r="B82" s="8" t="s">
        <v>670</v>
      </c>
      <c r="C82" s="9" t="s">
        <v>367</v>
      </c>
      <c r="D82" s="9" t="s">
        <v>77</v>
      </c>
      <c r="E82" s="9" t="s">
        <v>54</v>
      </c>
      <c r="F82" s="9"/>
      <c r="G82" s="9"/>
      <c r="H82" s="9"/>
      <c r="I82" s="9"/>
      <c r="J82" s="9" t="s">
        <v>667</v>
      </c>
      <c r="K82" s="9"/>
      <c r="L82" s="9"/>
    </row>
    <row r="83" customFormat="false" ht="15" hidden="false" customHeight="true" outlineLevel="0" collapsed="false">
      <c r="A83" s="8" t="s">
        <v>671</v>
      </c>
      <c r="B83" s="8" t="s">
        <v>672</v>
      </c>
      <c r="C83" s="9" t="s">
        <v>367</v>
      </c>
      <c r="D83" s="9" t="s">
        <v>96</v>
      </c>
      <c r="E83" s="9" t="s">
        <v>54</v>
      </c>
      <c r="F83" s="9"/>
      <c r="G83" s="9"/>
      <c r="H83" s="9"/>
      <c r="I83" s="9"/>
      <c r="J83" s="9" t="s">
        <v>669</v>
      </c>
      <c r="K83" s="9"/>
      <c r="L83" s="9"/>
    </row>
    <row r="84" customFormat="false" ht="15" hidden="false" customHeight="true" outlineLevel="0" collapsed="false">
      <c r="A84" s="8" t="s">
        <v>673</v>
      </c>
      <c r="B84" s="8" t="s">
        <v>674</v>
      </c>
      <c r="C84" s="9" t="s">
        <v>376</v>
      </c>
      <c r="D84" s="9" t="s">
        <v>77</v>
      </c>
      <c r="E84" s="9" t="s">
        <v>54</v>
      </c>
      <c r="F84" s="9"/>
      <c r="G84" s="9"/>
      <c r="H84" s="9"/>
      <c r="I84" s="9"/>
      <c r="J84" s="9" t="s">
        <v>671</v>
      </c>
      <c r="K84" s="9"/>
      <c r="L84" s="9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4" min="3" style="1" width="12"/>
    <col collapsed="false" customWidth="true" hidden="false" outlineLevel="0" max="6" min="5" style="1" width="10"/>
    <col collapsed="false" customWidth="true" hidden="false" outlineLevel="0" max="7" min="7" style="1" width="4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19.5" hidden="false" customHeight="true" outlineLevel="0" collapsed="false">
      <c r="A1" s="25" t="s">
        <v>675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26.25" hidden="false" customHeight="true" outlineLevel="0" collapsed="false">
      <c r="A2" s="7" t="s">
        <v>676</v>
      </c>
      <c r="B2" s="7" t="s">
        <v>677</v>
      </c>
      <c r="C2" s="7" t="s">
        <v>65</v>
      </c>
      <c r="D2" s="7" t="s">
        <v>678</v>
      </c>
      <c r="E2" s="7" t="s">
        <v>679</v>
      </c>
      <c r="F2" s="7" t="s">
        <v>680</v>
      </c>
      <c r="G2" s="7" t="s">
        <v>681</v>
      </c>
      <c r="H2" s="7" t="s">
        <v>682</v>
      </c>
      <c r="I2" s="7" t="s">
        <v>22</v>
      </c>
      <c r="J2" s="7" t="s">
        <v>683</v>
      </c>
    </row>
    <row r="3" customFormat="false" ht="15" hidden="false" customHeight="true" outlineLevel="0" collapsed="false">
      <c r="A3" s="8" t="s">
        <v>684</v>
      </c>
      <c r="B3" s="8" t="s">
        <v>685</v>
      </c>
      <c r="C3" s="9" t="s">
        <v>686</v>
      </c>
      <c r="D3" s="9" t="s">
        <v>687</v>
      </c>
      <c r="E3" s="9" t="s">
        <v>688</v>
      </c>
      <c r="F3" s="9" t="n">
        <f aca="false">IF(D3="High",3,IF(D3="Medium",2,1))*IF(E3="High",3,IF(E3="Medium",2,1))</f>
        <v>6</v>
      </c>
      <c r="G3" s="9" t="s">
        <v>689</v>
      </c>
      <c r="H3" s="9"/>
      <c r="I3" s="9" t="s">
        <v>690</v>
      </c>
      <c r="J3" s="9"/>
    </row>
    <row r="4" customFormat="false" ht="15" hidden="false" customHeight="true" outlineLevel="0" collapsed="false">
      <c r="A4" s="8" t="s">
        <v>691</v>
      </c>
      <c r="B4" s="8" t="s">
        <v>692</v>
      </c>
      <c r="C4" s="9" t="s">
        <v>693</v>
      </c>
      <c r="D4" s="9" t="s">
        <v>694</v>
      </c>
      <c r="E4" s="9" t="s">
        <v>688</v>
      </c>
      <c r="F4" s="9" t="n">
        <f aca="false">IF(D4="High",3,IF(D4="Medium",2,1))*IF(E4="High",3,IF(E4="Medium",2,1))</f>
        <v>3</v>
      </c>
      <c r="G4" s="9" t="s">
        <v>695</v>
      </c>
      <c r="H4" s="9"/>
      <c r="I4" s="9" t="s">
        <v>690</v>
      </c>
      <c r="J4" s="9"/>
    </row>
    <row r="5" customFormat="false" ht="15" hidden="false" customHeight="true" outlineLevel="0" collapsed="false">
      <c r="A5" s="8" t="s">
        <v>696</v>
      </c>
      <c r="B5" s="8" t="s">
        <v>697</v>
      </c>
      <c r="C5" s="9" t="s">
        <v>686</v>
      </c>
      <c r="D5" s="9" t="s">
        <v>687</v>
      </c>
      <c r="E5" s="9" t="s">
        <v>687</v>
      </c>
      <c r="F5" s="9" t="n">
        <f aca="false">IF(D5="High",3,IF(D5="Medium",2,1))*IF(E5="High",3,IF(E5="Medium",2,1))</f>
        <v>4</v>
      </c>
      <c r="G5" s="9" t="s">
        <v>698</v>
      </c>
      <c r="H5" s="9"/>
      <c r="I5" s="9" t="s">
        <v>690</v>
      </c>
      <c r="J5" s="9"/>
    </row>
    <row r="6" customFormat="false" ht="15" hidden="false" customHeight="true" outlineLevel="0" collapsed="false">
      <c r="A6" s="8" t="s">
        <v>699</v>
      </c>
      <c r="B6" s="8" t="s">
        <v>700</v>
      </c>
      <c r="C6" s="9" t="s">
        <v>701</v>
      </c>
      <c r="D6" s="9" t="s">
        <v>687</v>
      </c>
      <c r="E6" s="9" t="s">
        <v>688</v>
      </c>
      <c r="F6" s="9" t="n">
        <f aca="false">IF(D6="High",3,IF(D6="Medium",2,1))*IF(E6="High",3,IF(E6="Medium",2,1))</f>
        <v>6</v>
      </c>
      <c r="G6" s="9" t="s">
        <v>702</v>
      </c>
      <c r="H6" s="9"/>
      <c r="I6" s="9" t="s">
        <v>690</v>
      </c>
      <c r="J6" s="9"/>
    </row>
    <row r="7" customFormat="false" ht="15" hidden="false" customHeight="true" outlineLevel="0" collapsed="false">
      <c r="A7" s="8" t="s">
        <v>703</v>
      </c>
      <c r="B7" s="8" t="s">
        <v>704</v>
      </c>
      <c r="C7" s="9" t="s">
        <v>686</v>
      </c>
      <c r="D7" s="9" t="s">
        <v>688</v>
      </c>
      <c r="E7" s="9" t="s">
        <v>687</v>
      </c>
      <c r="F7" s="9" t="n">
        <f aca="false">IF(D7="High",3,IF(D7="Medium",2,1))*IF(E7="High",3,IF(E7="Medium",2,1))</f>
        <v>6</v>
      </c>
      <c r="G7" s="9" t="s">
        <v>705</v>
      </c>
      <c r="H7" s="9"/>
      <c r="I7" s="9" t="s">
        <v>690</v>
      </c>
      <c r="J7" s="9"/>
    </row>
    <row r="8" customFormat="false" ht="15" hidden="false" customHeight="true" outlineLevel="0" collapsed="false">
      <c r="A8" s="8" t="s">
        <v>706</v>
      </c>
      <c r="B8" s="8" t="s">
        <v>707</v>
      </c>
      <c r="C8" s="9" t="s">
        <v>147</v>
      </c>
      <c r="D8" s="9" t="s">
        <v>688</v>
      </c>
      <c r="E8" s="9" t="s">
        <v>688</v>
      </c>
      <c r="F8" s="9" t="n">
        <f aca="false">IF(D8="High",3,IF(D8="Medium",2,1))*IF(E8="High",3,IF(E8="Medium",2,1))</f>
        <v>9</v>
      </c>
      <c r="G8" s="9" t="s">
        <v>708</v>
      </c>
      <c r="H8" s="9"/>
      <c r="I8" s="9" t="s">
        <v>690</v>
      </c>
      <c r="J8" s="9"/>
    </row>
    <row r="9" customFormat="false" ht="15" hidden="false" customHeight="true" outlineLevel="0" collapsed="false">
      <c r="A9" s="8" t="s">
        <v>709</v>
      </c>
      <c r="B9" s="8" t="s">
        <v>710</v>
      </c>
      <c r="C9" s="9" t="s">
        <v>711</v>
      </c>
      <c r="D9" s="9" t="s">
        <v>688</v>
      </c>
      <c r="E9" s="9" t="s">
        <v>687</v>
      </c>
      <c r="F9" s="9" t="n">
        <f aca="false">IF(D9="High",3,IF(D9="Medium",2,1))*IF(E9="High",3,IF(E9="Medium",2,1))</f>
        <v>6</v>
      </c>
      <c r="G9" s="9" t="s">
        <v>712</v>
      </c>
      <c r="H9" s="9"/>
      <c r="I9" s="9" t="s">
        <v>690</v>
      </c>
      <c r="J9" s="9"/>
    </row>
    <row r="10" customFormat="false" ht="15" hidden="false" customHeight="true" outlineLevel="0" collapsed="false">
      <c r="A10" s="8" t="s">
        <v>713</v>
      </c>
      <c r="B10" s="8" t="s">
        <v>714</v>
      </c>
      <c r="C10" s="9" t="s">
        <v>715</v>
      </c>
      <c r="D10" s="9" t="s">
        <v>687</v>
      </c>
      <c r="E10" s="9" t="s">
        <v>687</v>
      </c>
      <c r="F10" s="9" t="n">
        <f aca="false">IF(D10="High",3,IF(D10="Medium",2,1))*IF(E10="High",3,IF(E10="Medium",2,1))</f>
        <v>4</v>
      </c>
      <c r="G10" s="9" t="s">
        <v>716</v>
      </c>
      <c r="H10" s="9"/>
      <c r="I10" s="9" t="s">
        <v>690</v>
      </c>
      <c r="J10" s="9"/>
    </row>
    <row r="11" customFormat="false" ht="15" hidden="false" customHeight="true" outlineLevel="0" collapsed="false">
      <c r="A11" s="8" t="s">
        <v>717</v>
      </c>
      <c r="B11" s="8" t="s">
        <v>718</v>
      </c>
      <c r="C11" s="9" t="s">
        <v>686</v>
      </c>
      <c r="D11" s="9" t="s">
        <v>687</v>
      </c>
      <c r="E11" s="9" t="s">
        <v>688</v>
      </c>
      <c r="F11" s="9" t="n">
        <f aca="false">IF(D11="High",3,IF(D11="Medium",2,1))*IF(E11="High",3,IF(E11="Medium",2,1))</f>
        <v>6</v>
      </c>
      <c r="G11" s="9" t="s">
        <v>719</v>
      </c>
      <c r="H11" s="9"/>
      <c r="I11" s="9" t="s">
        <v>690</v>
      </c>
      <c r="J11" s="9"/>
    </row>
    <row r="12" customFormat="false" ht="15" hidden="false" customHeight="true" outlineLevel="0" collapsed="false">
      <c r="A12" s="8" t="s">
        <v>720</v>
      </c>
      <c r="B12" s="8" t="s">
        <v>721</v>
      </c>
      <c r="C12" s="9" t="s">
        <v>693</v>
      </c>
      <c r="D12" s="9" t="s">
        <v>687</v>
      </c>
      <c r="E12" s="9" t="s">
        <v>688</v>
      </c>
      <c r="F12" s="9" t="n">
        <f aca="false">IF(D12="High",3,IF(D12="Medium",2,1))*IF(E12="High",3,IF(E12="Medium",2,1))</f>
        <v>6</v>
      </c>
      <c r="G12" s="9" t="s">
        <v>722</v>
      </c>
      <c r="H12" s="9"/>
      <c r="I12" s="9" t="s">
        <v>690</v>
      </c>
      <c r="J12" s="9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40"/>
    <col collapsed="false" customWidth="true" hidden="false" outlineLevel="0" max="5" min="5" style="1" width="30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1" t="s">
        <v>723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7" t="s">
        <v>724</v>
      </c>
      <c r="B2" s="7" t="s">
        <v>725</v>
      </c>
      <c r="C2" s="7" t="s">
        <v>726</v>
      </c>
      <c r="D2" s="7" t="s">
        <v>19</v>
      </c>
      <c r="E2" s="7" t="s">
        <v>73</v>
      </c>
      <c r="F2" s="7" t="s">
        <v>727</v>
      </c>
    </row>
    <row r="3" customFormat="false" ht="15" hidden="false" customHeight="true" outlineLevel="0" collapsed="false">
      <c r="A3" s="8" t="s">
        <v>728</v>
      </c>
      <c r="B3" s="8"/>
      <c r="C3" s="9"/>
      <c r="D3" s="9"/>
      <c r="E3" s="9"/>
      <c r="F3" s="9"/>
    </row>
    <row r="4" customFormat="false" ht="15" hidden="false" customHeight="true" outlineLevel="0" collapsed="false">
      <c r="A4" s="8" t="s">
        <v>729</v>
      </c>
      <c r="B4" s="8"/>
      <c r="C4" s="9"/>
      <c r="D4" s="9"/>
      <c r="E4" s="9"/>
      <c r="F4" s="9"/>
    </row>
    <row r="5" customFormat="false" ht="15" hidden="false" customHeight="true" outlineLevel="0" collapsed="false">
      <c r="A5" s="8" t="s">
        <v>730</v>
      </c>
      <c r="B5" s="8"/>
      <c r="C5" s="9"/>
      <c r="D5" s="9"/>
      <c r="E5" s="9"/>
      <c r="F5" s="9"/>
    </row>
    <row r="6" customFormat="false" ht="15" hidden="false" customHeight="true" outlineLevel="0" collapsed="false">
      <c r="A6" s="8" t="s">
        <v>731</v>
      </c>
      <c r="B6" s="8"/>
      <c r="C6" s="9"/>
      <c r="D6" s="9"/>
      <c r="E6" s="9"/>
      <c r="F6" s="9"/>
    </row>
    <row r="7" customFormat="false" ht="15" hidden="false" customHeight="true" outlineLevel="0" collapsed="false">
      <c r="A7" s="8" t="s">
        <v>732</v>
      </c>
      <c r="B7" s="8"/>
      <c r="C7" s="9"/>
      <c r="D7" s="9"/>
      <c r="E7" s="9"/>
      <c r="F7" s="9"/>
    </row>
    <row r="8" customFormat="false" ht="15" hidden="false" customHeight="true" outlineLevel="0" collapsed="false">
      <c r="A8" s="8" t="s">
        <v>733</v>
      </c>
      <c r="B8" s="8"/>
      <c r="C8" s="9"/>
      <c r="D8" s="9"/>
      <c r="E8" s="9"/>
      <c r="F8" s="9"/>
    </row>
    <row r="9" customFormat="false" ht="15" hidden="false" customHeight="true" outlineLevel="0" collapsed="false">
      <c r="A9" s="8" t="s">
        <v>734</v>
      </c>
      <c r="B9" s="8"/>
      <c r="C9" s="9"/>
      <c r="D9" s="9"/>
      <c r="E9" s="9"/>
      <c r="F9" s="9"/>
    </row>
    <row r="10" customFormat="false" ht="15" hidden="false" customHeight="true" outlineLevel="0" collapsed="false">
      <c r="A10" s="8" t="s">
        <v>735</v>
      </c>
      <c r="B10" s="8"/>
      <c r="C10" s="9"/>
      <c r="D10" s="9"/>
      <c r="E10" s="9"/>
      <c r="F10" s="9"/>
    </row>
    <row r="11" customFormat="false" ht="15" hidden="false" customHeight="true" outlineLevel="0" collapsed="false">
      <c r="A11" s="8" t="s">
        <v>736</v>
      </c>
      <c r="B11" s="8"/>
      <c r="C11" s="9"/>
      <c r="D11" s="9"/>
      <c r="E11" s="9"/>
      <c r="F11" s="9"/>
    </row>
    <row r="12" customFormat="false" ht="15" hidden="false" customHeight="true" outlineLevel="0" collapsed="false">
      <c r="A12" s="8" t="s">
        <v>737</v>
      </c>
      <c r="B12" s="8"/>
      <c r="C12" s="9"/>
      <c r="D12" s="9"/>
      <c r="E12" s="9"/>
      <c r="F12" s="9"/>
    </row>
    <row r="13" customFormat="false" ht="15" hidden="false" customHeight="true" outlineLevel="0" collapsed="false">
      <c r="A13" s="8" t="s">
        <v>738</v>
      </c>
      <c r="B13" s="8"/>
      <c r="C13" s="9"/>
      <c r="D13" s="9"/>
      <c r="E13" s="9"/>
      <c r="F13" s="9"/>
    </row>
    <row r="14" customFormat="false" ht="15" hidden="false" customHeight="true" outlineLevel="0" collapsed="false">
      <c r="A14" s="8" t="s">
        <v>739</v>
      </c>
      <c r="B14" s="8"/>
      <c r="C14" s="9"/>
      <c r="D14" s="9"/>
      <c r="E14" s="9"/>
      <c r="F14" s="9"/>
    </row>
    <row r="15" customFormat="false" ht="15" hidden="false" customHeight="true" outlineLevel="0" collapsed="false">
      <c r="A15" s="8" t="s">
        <v>740</v>
      </c>
      <c r="B15" s="8"/>
      <c r="C15" s="9"/>
      <c r="D15" s="9"/>
      <c r="E15" s="9"/>
      <c r="F15" s="9"/>
    </row>
    <row r="16" customFormat="false" ht="15" hidden="false" customHeight="true" outlineLevel="0" collapsed="false">
      <c r="A16" s="8" t="s">
        <v>741</v>
      </c>
      <c r="B16" s="8"/>
      <c r="C16" s="9"/>
      <c r="D16" s="9"/>
      <c r="E16" s="9"/>
      <c r="F16" s="9"/>
    </row>
    <row r="17" customFormat="false" ht="15" hidden="false" customHeight="true" outlineLevel="0" collapsed="false">
      <c r="A17" s="8" t="s">
        <v>742</v>
      </c>
      <c r="B17" s="8"/>
      <c r="C17" s="9"/>
      <c r="D17" s="9"/>
      <c r="E17" s="9"/>
      <c r="F17" s="9"/>
    </row>
    <row r="18" customFormat="false" ht="15" hidden="false" customHeight="true" outlineLevel="0" collapsed="false">
      <c r="A18" s="8" t="s">
        <v>743</v>
      </c>
      <c r="B18" s="8"/>
      <c r="C18" s="9"/>
      <c r="D18" s="9"/>
      <c r="E18" s="9"/>
      <c r="F18" s="9"/>
    </row>
    <row r="19" customFormat="false" ht="15" hidden="false" customHeight="true" outlineLevel="0" collapsed="false">
      <c r="A19" s="8" t="s">
        <v>744</v>
      </c>
      <c r="B19" s="8"/>
      <c r="C19" s="9"/>
      <c r="D19" s="9"/>
      <c r="E19" s="9"/>
      <c r="F19" s="9"/>
    </row>
    <row r="20" customFormat="false" ht="15" hidden="false" customHeight="true" outlineLevel="0" collapsed="false">
      <c r="A20" s="8" t="s">
        <v>745</v>
      </c>
      <c r="B20" s="8"/>
      <c r="C20" s="9"/>
      <c r="D20" s="9"/>
      <c r="E20" s="9"/>
      <c r="F20" s="9"/>
    </row>
    <row r="21" customFormat="false" ht="15" hidden="false" customHeight="true" outlineLevel="0" collapsed="false">
      <c r="A21" s="8" t="s">
        <v>746</v>
      </c>
      <c r="B21" s="8"/>
      <c r="C21" s="9"/>
      <c r="D21" s="9"/>
      <c r="E21" s="9"/>
      <c r="F21" s="9"/>
    </row>
    <row r="22" customFormat="false" ht="15" hidden="false" customHeight="true" outlineLevel="0" collapsed="false">
      <c r="A22" s="8" t="s">
        <v>747</v>
      </c>
      <c r="B22" s="8"/>
      <c r="C22" s="9"/>
      <c r="D22" s="9"/>
      <c r="E22" s="9"/>
      <c r="F22" s="9"/>
    </row>
    <row r="23" customFormat="false" ht="15" hidden="false" customHeight="true" outlineLevel="0" collapsed="false">
      <c r="A23" s="8" t="s">
        <v>748</v>
      </c>
      <c r="B23" s="8"/>
      <c r="C23" s="9"/>
      <c r="D23" s="9"/>
      <c r="E23" s="9"/>
      <c r="F23" s="9"/>
    </row>
    <row r="24" customFormat="false" ht="15" hidden="false" customHeight="true" outlineLevel="0" collapsed="false">
      <c r="A24" s="8" t="s">
        <v>749</v>
      </c>
      <c r="B24" s="8"/>
      <c r="C24" s="9"/>
      <c r="D24" s="9"/>
      <c r="E24" s="9"/>
      <c r="F24" s="9"/>
    </row>
    <row r="25" customFormat="false" ht="15" hidden="false" customHeight="true" outlineLevel="0" collapsed="false">
      <c r="A25" s="8" t="s">
        <v>750</v>
      </c>
      <c r="B25" s="8"/>
      <c r="C25" s="9"/>
      <c r="D25" s="9"/>
      <c r="E25" s="9"/>
      <c r="F25" s="9"/>
    </row>
    <row r="26" customFormat="false" ht="15" hidden="false" customHeight="true" outlineLevel="0" collapsed="false">
      <c r="A26" s="8" t="s">
        <v>751</v>
      </c>
      <c r="B26" s="8"/>
      <c r="C26" s="9"/>
      <c r="D26" s="9"/>
      <c r="E26" s="9"/>
      <c r="F26" s="9"/>
    </row>
    <row r="27" customFormat="false" ht="15" hidden="false" customHeight="true" outlineLevel="0" collapsed="false">
      <c r="A27" s="8" t="s">
        <v>752</v>
      </c>
      <c r="B27" s="8"/>
      <c r="C27" s="9"/>
      <c r="D27" s="9"/>
      <c r="E27" s="9"/>
      <c r="F27" s="9"/>
    </row>
    <row r="28" customFormat="false" ht="15" hidden="false" customHeight="true" outlineLevel="0" collapsed="false">
      <c r="A28" s="8" t="s">
        <v>753</v>
      </c>
      <c r="B28" s="8"/>
      <c r="C28" s="9"/>
      <c r="D28" s="9"/>
      <c r="E28" s="9"/>
      <c r="F28" s="9"/>
    </row>
    <row r="29" customFormat="false" ht="15" hidden="false" customHeight="true" outlineLevel="0" collapsed="false">
      <c r="A29" s="8" t="s">
        <v>754</v>
      </c>
      <c r="B29" s="8"/>
      <c r="C29" s="9"/>
      <c r="D29" s="9"/>
      <c r="E29" s="9"/>
      <c r="F29" s="9"/>
    </row>
    <row r="30" customFormat="false" ht="15" hidden="false" customHeight="true" outlineLevel="0" collapsed="false">
      <c r="A30" s="8" t="s">
        <v>755</v>
      </c>
      <c r="B30" s="8"/>
      <c r="C30" s="9"/>
      <c r="D30" s="9"/>
      <c r="E30" s="9"/>
      <c r="F30" s="9"/>
    </row>
    <row r="31" customFormat="false" ht="15" hidden="false" customHeight="true" outlineLevel="0" collapsed="false">
      <c r="A31" s="8" t="s">
        <v>756</v>
      </c>
      <c r="B31" s="8"/>
      <c r="C31" s="9"/>
      <c r="D31" s="9"/>
      <c r="E31" s="9"/>
      <c r="F31" s="9"/>
    </row>
    <row r="32" customFormat="false" ht="15" hidden="false" customHeight="true" outlineLevel="0" collapsed="false">
      <c r="A32" s="8" t="s">
        <v>757</v>
      </c>
      <c r="B32" s="8"/>
      <c r="C32" s="9"/>
      <c r="D32" s="9"/>
      <c r="E32" s="9"/>
      <c r="F32" s="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4" min="3" style="1" width="35"/>
    <col collapsed="false" customWidth="true" hidden="false" outlineLevel="0" max="5" min="5" style="1" width="30"/>
    <col collapsed="false" customWidth="true" hidden="false" outlineLevel="0" max="6" min="6" style="1" width="40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1" t="s">
        <v>758</v>
      </c>
      <c r="B1" s="21"/>
      <c r="C1" s="21"/>
      <c r="D1" s="21"/>
      <c r="E1" s="21"/>
      <c r="F1" s="21"/>
      <c r="G1" s="21"/>
    </row>
    <row r="2" customFormat="false" ht="15" hidden="false" customHeight="true" outlineLevel="0" collapsed="false">
      <c r="A2" s="7" t="s">
        <v>63</v>
      </c>
      <c r="B2" s="7" t="s">
        <v>725</v>
      </c>
      <c r="C2" s="7" t="s">
        <v>759</v>
      </c>
      <c r="D2" s="7" t="s">
        <v>760</v>
      </c>
      <c r="E2" s="7" t="s">
        <v>761</v>
      </c>
      <c r="F2" s="7" t="s">
        <v>762</v>
      </c>
      <c r="G2" s="7" t="s">
        <v>22</v>
      </c>
    </row>
    <row r="3" customFormat="false" ht="15" hidden="false" customHeight="true" outlineLevel="0" collapsed="false">
      <c r="A3" s="8" t="s">
        <v>763</v>
      </c>
      <c r="B3" s="8"/>
      <c r="C3" s="9" t="s">
        <v>764</v>
      </c>
      <c r="D3" s="9" t="s">
        <v>765</v>
      </c>
      <c r="E3" s="9" t="s">
        <v>766</v>
      </c>
      <c r="F3" s="9" t="s">
        <v>767</v>
      </c>
      <c r="G3" s="9" t="s">
        <v>768</v>
      </c>
    </row>
    <row r="4" customFormat="false" ht="23.25" hidden="false" customHeight="true" outlineLevel="0" collapsed="false">
      <c r="A4" s="8" t="s">
        <v>769</v>
      </c>
      <c r="B4" s="8"/>
      <c r="C4" s="9" t="s">
        <v>770</v>
      </c>
      <c r="D4" s="9" t="s">
        <v>771</v>
      </c>
      <c r="E4" s="9" t="s">
        <v>772</v>
      </c>
      <c r="F4" s="9" t="s">
        <v>773</v>
      </c>
      <c r="G4" s="9" t="s">
        <v>768</v>
      </c>
    </row>
    <row r="5" customFormat="false" ht="23.25" hidden="false" customHeight="true" outlineLevel="0" collapsed="false">
      <c r="A5" s="8" t="s">
        <v>774</v>
      </c>
      <c r="B5" s="8"/>
      <c r="C5" s="9" t="s">
        <v>775</v>
      </c>
      <c r="D5" s="9" t="s">
        <v>776</v>
      </c>
      <c r="E5" s="9" t="s">
        <v>777</v>
      </c>
      <c r="F5" s="9" t="s">
        <v>778</v>
      </c>
      <c r="G5" s="9" t="s">
        <v>768</v>
      </c>
    </row>
    <row r="6" customFormat="false" ht="15" hidden="false" customHeight="true" outlineLevel="0" collapsed="false">
      <c r="A6" s="8" t="s">
        <v>779</v>
      </c>
      <c r="B6" s="8"/>
      <c r="C6" s="9" t="s">
        <v>780</v>
      </c>
      <c r="D6" s="9" t="s">
        <v>781</v>
      </c>
      <c r="E6" s="9" t="s">
        <v>782</v>
      </c>
      <c r="F6" s="9" t="s">
        <v>783</v>
      </c>
      <c r="G6" s="9" t="s">
        <v>768</v>
      </c>
    </row>
    <row r="7" customFormat="false" ht="15" hidden="false" customHeight="true" outlineLevel="0" collapsed="false">
      <c r="A7" s="8" t="s">
        <v>784</v>
      </c>
      <c r="B7" s="8"/>
      <c r="C7" s="9" t="s">
        <v>785</v>
      </c>
      <c r="D7" s="9" t="s">
        <v>786</v>
      </c>
      <c r="E7" s="9" t="s">
        <v>787</v>
      </c>
      <c r="F7" s="9" t="s">
        <v>788</v>
      </c>
      <c r="G7" s="9" t="s">
        <v>768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6" min="4" style="1" width="12"/>
    <col collapsed="false" customWidth="true" hidden="false" outlineLevel="0" max="7" min="7" style="1" width="15"/>
    <col collapsed="false" customWidth="true" hidden="false" outlineLevel="0" max="8" min="8" style="1" width="25"/>
  </cols>
  <sheetData>
    <row r="1" customFormat="false" ht="19.5" hidden="false" customHeight="true" outlineLevel="0" collapsed="false">
      <c r="A1" s="21" t="s">
        <v>789</v>
      </c>
      <c r="B1" s="21"/>
      <c r="C1" s="21"/>
      <c r="D1" s="21"/>
      <c r="E1" s="21"/>
      <c r="F1" s="21"/>
      <c r="G1" s="21"/>
      <c r="H1" s="21"/>
    </row>
    <row r="2" customFormat="false" ht="26.25" hidden="false" customHeight="true" outlineLevel="0" collapsed="false">
      <c r="A2" s="7" t="s">
        <v>790</v>
      </c>
      <c r="B2" s="7" t="s">
        <v>791</v>
      </c>
      <c r="C2" s="7" t="s">
        <v>792</v>
      </c>
      <c r="D2" s="7" t="s">
        <v>793</v>
      </c>
      <c r="E2" s="7" t="s">
        <v>794</v>
      </c>
      <c r="F2" s="7" t="s">
        <v>795</v>
      </c>
      <c r="G2" s="7" t="s">
        <v>22</v>
      </c>
      <c r="H2" s="7" t="s">
        <v>72</v>
      </c>
    </row>
    <row r="3" customFormat="false" ht="15" hidden="false" customHeight="true" outlineLevel="0" collapsed="false">
      <c r="A3" s="8" t="s">
        <v>796</v>
      </c>
      <c r="B3" s="8" t="s">
        <v>54</v>
      </c>
      <c r="C3" s="9" t="s">
        <v>54</v>
      </c>
      <c r="D3" s="9" t="s">
        <v>54</v>
      </c>
      <c r="E3" s="9" t="s">
        <v>797</v>
      </c>
      <c r="F3" s="9"/>
      <c r="G3" s="9" t="s">
        <v>798</v>
      </c>
      <c r="H3" s="9"/>
    </row>
    <row r="4" customFormat="false" ht="15" hidden="false" customHeight="true" outlineLevel="0" collapsed="false">
      <c r="A4" s="8" t="s">
        <v>799</v>
      </c>
      <c r="B4" s="8" t="s">
        <v>54</v>
      </c>
      <c r="C4" s="9" t="s">
        <v>54</v>
      </c>
      <c r="D4" s="9" t="s">
        <v>54</v>
      </c>
      <c r="E4" s="9" t="s">
        <v>797</v>
      </c>
      <c r="F4" s="9"/>
      <c r="G4" s="9" t="s">
        <v>798</v>
      </c>
      <c r="H4" s="9"/>
    </row>
    <row r="5" customFormat="false" ht="15" hidden="false" customHeight="true" outlineLevel="0" collapsed="false">
      <c r="A5" s="8" t="s">
        <v>800</v>
      </c>
      <c r="B5" s="8" t="s">
        <v>54</v>
      </c>
      <c r="C5" s="9" t="s">
        <v>54</v>
      </c>
      <c r="D5" s="9" t="s">
        <v>54</v>
      </c>
      <c r="E5" s="9" t="s">
        <v>797</v>
      </c>
      <c r="F5" s="9"/>
      <c r="G5" s="9" t="s">
        <v>798</v>
      </c>
      <c r="H5" s="9"/>
    </row>
    <row r="6" customFormat="false" ht="15" hidden="false" customHeight="true" outlineLevel="0" collapsed="false">
      <c r="A6" s="8" t="s">
        <v>210</v>
      </c>
      <c r="B6" s="8" t="s">
        <v>54</v>
      </c>
      <c r="C6" s="9" t="s">
        <v>54</v>
      </c>
      <c r="D6" s="9" t="s">
        <v>54</v>
      </c>
      <c r="E6" s="9" t="s">
        <v>797</v>
      </c>
      <c r="F6" s="9"/>
      <c r="G6" s="9" t="s">
        <v>798</v>
      </c>
      <c r="H6" s="9"/>
    </row>
    <row r="7" customFormat="false" ht="15" hidden="false" customHeight="true" outlineLevel="0" collapsed="false">
      <c r="A7" s="8" t="s">
        <v>801</v>
      </c>
      <c r="B7" s="8" t="s">
        <v>54</v>
      </c>
      <c r="C7" s="9" t="s">
        <v>54</v>
      </c>
      <c r="D7" s="9" t="s">
        <v>54</v>
      </c>
      <c r="E7" s="9" t="s">
        <v>797</v>
      </c>
      <c r="F7" s="9"/>
      <c r="G7" s="9" t="s">
        <v>798</v>
      </c>
      <c r="H7" s="9"/>
    </row>
    <row r="8" customFormat="false" ht="15" hidden="false" customHeight="true" outlineLevel="0" collapsed="false">
      <c r="A8" s="8" t="s">
        <v>802</v>
      </c>
      <c r="B8" s="8" t="s">
        <v>54</v>
      </c>
      <c r="C8" s="9" t="s">
        <v>54</v>
      </c>
      <c r="D8" s="9" t="s">
        <v>54</v>
      </c>
      <c r="E8" s="9" t="s">
        <v>797</v>
      </c>
      <c r="F8" s="9"/>
      <c r="G8" s="9" t="s">
        <v>798</v>
      </c>
      <c r="H8" s="9"/>
    </row>
    <row r="9" customFormat="false" ht="15" hidden="false" customHeight="true" outlineLevel="0" collapsed="false">
      <c r="A9" s="8" t="s">
        <v>803</v>
      </c>
      <c r="B9" s="8" t="s">
        <v>54</v>
      </c>
      <c r="C9" s="9" t="s">
        <v>54</v>
      </c>
      <c r="D9" s="9" t="s">
        <v>54</v>
      </c>
      <c r="E9" s="9" t="s">
        <v>797</v>
      </c>
      <c r="F9" s="9"/>
      <c r="G9" s="9" t="s">
        <v>798</v>
      </c>
      <c r="H9" s="9"/>
    </row>
    <row r="10" customFormat="false" ht="15" hidden="false" customHeight="true" outlineLevel="0" collapsed="false">
      <c r="A10" s="8" t="s">
        <v>804</v>
      </c>
      <c r="B10" s="8" t="s">
        <v>54</v>
      </c>
      <c r="C10" s="9" t="s">
        <v>54</v>
      </c>
      <c r="D10" s="9" t="s">
        <v>54</v>
      </c>
      <c r="E10" s="9" t="s">
        <v>797</v>
      </c>
      <c r="F10" s="9"/>
      <c r="G10" s="9" t="s">
        <v>798</v>
      </c>
      <c r="H10" s="9" t="s">
        <v>805</v>
      </c>
    </row>
    <row r="11" customFormat="false" ht="15" hidden="false" customHeight="true" outlineLevel="0" collapsed="false">
      <c r="A11" s="8" t="s">
        <v>806</v>
      </c>
      <c r="B11" s="8" t="s">
        <v>54</v>
      </c>
      <c r="C11" s="9" t="s">
        <v>54</v>
      </c>
      <c r="D11" s="9" t="s">
        <v>54</v>
      </c>
      <c r="E11" s="9" t="s">
        <v>797</v>
      </c>
      <c r="F11" s="9"/>
      <c r="G11" s="9" t="s">
        <v>798</v>
      </c>
      <c r="H11" s="9"/>
    </row>
    <row r="12" customFormat="false" ht="15" hidden="false" customHeight="true" outlineLevel="0" collapsed="false">
      <c r="A12" s="8" t="s">
        <v>807</v>
      </c>
      <c r="B12" s="8" t="s">
        <v>54</v>
      </c>
      <c r="C12" s="9" t="s">
        <v>54</v>
      </c>
      <c r="D12" s="9" t="s">
        <v>54</v>
      </c>
      <c r="E12" s="9" t="s">
        <v>797</v>
      </c>
      <c r="F12" s="9"/>
      <c r="G12" s="9" t="s">
        <v>798</v>
      </c>
      <c r="H12" s="9"/>
    </row>
    <row r="13" customFormat="false" ht="15" hidden="false" customHeight="true" outlineLevel="0" collapsed="false">
      <c r="A13" s="8" t="s">
        <v>808</v>
      </c>
      <c r="B13" s="8" t="s">
        <v>54</v>
      </c>
      <c r="C13" s="9" t="s">
        <v>54</v>
      </c>
      <c r="D13" s="9" t="s">
        <v>54</v>
      </c>
      <c r="E13" s="9" t="s">
        <v>797</v>
      </c>
      <c r="F13" s="9"/>
      <c r="G13" s="9" t="s">
        <v>798</v>
      </c>
      <c r="H13" s="9"/>
    </row>
    <row r="14" customFormat="false" ht="15" hidden="false" customHeight="true" outlineLevel="0" collapsed="false">
      <c r="A14" s="8" t="s">
        <v>809</v>
      </c>
      <c r="B14" s="8" t="s">
        <v>54</v>
      </c>
      <c r="C14" s="9" t="s">
        <v>54</v>
      </c>
      <c r="D14" s="9" t="s">
        <v>54</v>
      </c>
      <c r="E14" s="9" t="s">
        <v>797</v>
      </c>
      <c r="F14" s="9"/>
      <c r="G14" s="9" t="s">
        <v>798</v>
      </c>
      <c r="H14" s="9"/>
    </row>
    <row r="15" customFormat="false" ht="15" hidden="false" customHeight="true" outlineLevel="0" collapsed="false">
      <c r="A15" s="8" t="s">
        <v>810</v>
      </c>
      <c r="B15" s="8" t="s">
        <v>54</v>
      </c>
      <c r="C15" s="9" t="s">
        <v>54</v>
      </c>
      <c r="D15" s="9" t="s">
        <v>54</v>
      </c>
      <c r="E15" s="9" t="s">
        <v>797</v>
      </c>
      <c r="F15" s="9"/>
      <c r="G15" s="9" t="s">
        <v>798</v>
      </c>
      <c r="H15" s="9"/>
    </row>
    <row r="16" customFormat="false" ht="15" hidden="false" customHeight="true" outlineLevel="0" collapsed="false">
      <c r="A16" s="8" t="s">
        <v>811</v>
      </c>
      <c r="B16" s="8" t="s">
        <v>54</v>
      </c>
      <c r="C16" s="9" t="s">
        <v>54</v>
      </c>
      <c r="D16" s="9" t="s">
        <v>54</v>
      </c>
      <c r="E16" s="9" t="s">
        <v>797</v>
      </c>
      <c r="F16" s="9"/>
      <c r="G16" s="9" t="s">
        <v>798</v>
      </c>
      <c r="H16" s="9"/>
    </row>
    <row r="17" customFormat="false" ht="15" hidden="false" customHeight="true" outlineLevel="0" collapsed="false">
      <c r="A17" s="8" t="s">
        <v>812</v>
      </c>
      <c r="B17" s="8" t="s">
        <v>54</v>
      </c>
      <c r="C17" s="9" t="s">
        <v>54</v>
      </c>
      <c r="D17" s="9" t="s">
        <v>54</v>
      </c>
      <c r="E17" s="9" t="s">
        <v>797</v>
      </c>
      <c r="F17" s="9"/>
      <c r="G17" s="9" t="s">
        <v>798</v>
      </c>
      <c r="H17" s="9"/>
    </row>
    <row r="18" customFormat="false" ht="15" hidden="false" customHeight="true" outlineLevel="0" collapsed="false">
      <c r="A18" s="8" t="s">
        <v>813</v>
      </c>
      <c r="B18" s="8" t="s">
        <v>54</v>
      </c>
      <c r="C18" s="9" t="s">
        <v>54</v>
      </c>
      <c r="D18" s="9" t="s">
        <v>54</v>
      </c>
      <c r="E18" s="9" t="s">
        <v>797</v>
      </c>
      <c r="F18" s="9"/>
      <c r="G18" s="9" t="s">
        <v>798</v>
      </c>
      <c r="H18" s="9"/>
    </row>
    <row r="19" customFormat="false" ht="15" hidden="false" customHeight="true" outlineLevel="0" collapsed="false">
      <c r="A19" s="8" t="s">
        <v>814</v>
      </c>
      <c r="B19" s="8" t="s">
        <v>54</v>
      </c>
      <c r="C19" s="9" t="s">
        <v>54</v>
      </c>
      <c r="D19" s="9" t="s">
        <v>54</v>
      </c>
      <c r="E19" s="9" t="s">
        <v>797</v>
      </c>
      <c r="F19" s="9"/>
      <c r="G19" s="9" t="s">
        <v>798</v>
      </c>
      <c r="H19" s="9"/>
    </row>
    <row r="20" customFormat="false" ht="15" hidden="false" customHeight="true" outlineLevel="0" collapsed="false">
      <c r="A20" s="8" t="s">
        <v>815</v>
      </c>
      <c r="B20" s="8" t="s">
        <v>54</v>
      </c>
      <c r="C20" s="9" t="s">
        <v>54</v>
      </c>
      <c r="D20" s="9" t="s">
        <v>54</v>
      </c>
      <c r="E20" s="9" t="s">
        <v>797</v>
      </c>
      <c r="F20" s="9"/>
      <c r="G20" s="9" t="s">
        <v>798</v>
      </c>
      <c r="H20" s="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5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6" t="s">
        <v>816</v>
      </c>
      <c r="B1" s="26"/>
      <c r="C1" s="26"/>
      <c r="D1" s="26"/>
      <c r="E1" s="26"/>
    </row>
    <row r="2" customFormat="false" ht="15" hidden="false" customHeight="true" outlineLevel="0" collapsed="false">
      <c r="A2" s="7" t="s">
        <v>65</v>
      </c>
      <c r="B2" s="7" t="s">
        <v>817</v>
      </c>
      <c r="C2" s="7" t="s">
        <v>22</v>
      </c>
      <c r="D2" s="7" t="s">
        <v>818</v>
      </c>
      <c r="E2" s="7" t="s">
        <v>725</v>
      </c>
    </row>
    <row r="3" customFormat="false" ht="15" hidden="false" customHeight="true" outlineLevel="0" collapsed="false">
      <c r="A3" s="8" t="s">
        <v>819</v>
      </c>
      <c r="B3" s="8" t="s">
        <v>820</v>
      </c>
      <c r="C3" s="9" t="s">
        <v>54</v>
      </c>
      <c r="D3" s="9"/>
      <c r="E3" s="9"/>
    </row>
    <row r="4" customFormat="false" ht="15" hidden="false" customHeight="true" outlineLevel="0" collapsed="false">
      <c r="A4" s="8" t="s">
        <v>819</v>
      </c>
      <c r="B4" s="8" t="s">
        <v>821</v>
      </c>
      <c r="C4" s="9" t="s">
        <v>54</v>
      </c>
      <c r="D4" s="9"/>
      <c r="E4" s="9"/>
    </row>
    <row r="5" customFormat="false" ht="15" hidden="false" customHeight="true" outlineLevel="0" collapsed="false">
      <c r="A5" s="8" t="s">
        <v>819</v>
      </c>
      <c r="B5" s="8" t="s">
        <v>822</v>
      </c>
      <c r="C5" s="9" t="s">
        <v>54</v>
      </c>
      <c r="D5" s="9"/>
      <c r="E5" s="9"/>
    </row>
    <row r="6" customFormat="false" ht="15" hidden="false" customHeight="true" outlineLevel="0" collapsed="false">
      <c r="A6" s="8" t="s">
        <v>819</v>
      </c>
      <c r="B6" s="8" t="s">
        <v>823</v>
      </c>
      <c r="C6" s="9" t="s">
        <v>54</v>
      </c>
      <c r="D6" s="9"/>
      <c r="E6" s="9"/>
    </row>
    <row r="7" customFormat="false" ht="15" hidden="false" customHeight="true" outlineLevel="0" collapsed="false">
      <c r="A7" s="8" t="s">
        <v>819</v>
      </c>
      <c r="B7" s="8" t="s">
        <v>824</v>
      </c>
      <c r="C7" s="9" t="s">
        <v>54</v>
      </c>
      <c r="D7" s="9"/>
      <c r="E7" s="9"/>
    </row>
    <row r="8" customFormat="false" ht="15" hidden="false" customHeight="true" outlineLevel="0" collapsed="false">
      <c r="A8" s="8" t="s">
        <v>819</v>
      </c>
      <c r="B8" s="8" t="s">
        <v>825</v>
      </c>
      <c r="C8" s="9" t="s">
        <v>54</v>
      </c>
      <c r="D8" s="9"/>
      <c r="E8" s="9"/>
    </row>
    <row r="9" customFormat="false" ht="15" hidden="false" customHeight="true" outlineLevel="0" collapsed="false">
      <c r="A9" s="8" t="s">
        <v>826</v>
      </c>
      <c r="B9" s="8" t="s">
        <v>827</v>
      </c>
      <c r="C9" s="9" t="s">
        <v>54</v>
      </c>
      <c r="D9" s="9"/>
      <c r="E9" s="9"/>
    </row>
    <row r="10" customFormat="false" ht="15" hidden="false" customHeight="true" outlineLevel="0" collapsed="false">
      <c r="A10" s="8" t="s">
        <v>826</v>
      </c>
      <c r="B10" s="8" t="s">
        <v>828</v>
      </c>
      <c r="C10" s="9" t="s">
        <v>54</v>
      </c>
      <c r="D10" s="9"/>
      <c r="E10" s="9"/>
    </row>
    <row r="11" customFormat="false" ht="15" hidden="false" customHeight="true" outlineLevel="0" collapsed="false">
      <c r="A11" s="8" t="s">
        <v>826</v>
      </c>
      <c r="B11" s="8" t="s">
        <v>829</v>
      </c>
      <c r="C11" s="9" t="s">
        <v>54</v>
      </c>
      <c r="D11" s="9"/>
      <c r="E11" s="9"/>
    </row>
    <row r="12" customFormat="false" ht="15" hidden="false" customHeight="true" outlineLevel="0" collapsed="false">
      <c r="A12" s="8" t="s">
        <v>826</v>
      </c>
      <c r="B12" s="8" t="s">
        <v>830</v>
      </c>
      <c r="C12" s="9" t="s">
        <v>54</v>
      </c>
      <c r="D12" s="9"/>
      <c r="E12" s="9"/>
    </row>
    <row r="13" customFormat="false" ht="15" hidden="false" customHeight="true" outlineLevel="0" collapsed="false">
      <c r="A13" s="8" t="s">
        <v>831</v>
      </c>
      <c r="B13" s="8" t="s">
        <v>832</v>
      </c>
      <c r="C13" s="9" t="s">
        <v>54</v>
      </c>
      <c r="D13" s="9"/>
      <c r="E13" s="9"/>
    </row>
    <row r="14" customFormat="false" ht="15" hidden="false" customHeight="true" outlineLevel="0" collapsed="false">
      <c r="A14" s="8" t="s">
        <v>831</v>
      </c>
      <c r="B14" s="8" t="s">
        <v>833</v>
      </c>
      <c r="C14" s="9" t="s">
        <v>54</v>
      </c>
      <c r="D14" s="9"/>
      <c r="E14" s="9"/>
    </row>
    <row r="15" customFormat="false" ht="15" hidden="false" customHeight="true" outlineLevel="0" collapsed="false">
      <c r="A15" s="8" t="s">
        <v>831</v>
      </c>
      <c r="B15" s="8" t="s">
        <v>834</v>
      </c>
      <c r="C15" s="9" t="s">
        <v>54</v>
      </c>
      <c r="D15" s="9"/>
      <c r="E15" s="9"/>
    </row>
    <row r="16" customFormat="false" ht="15" hidden="false" customHeight="true" outlineLevel="0" collapsed="false">
      <c r="A16" s="8" t="s">
        <v>831</v>
      </c>
      <c r="B16" s="8" t="s">
        <v>835</v>
      </c>
      <c r="C16" s="9" t="s">
        <v>54</v>
      </c>
      <c r="D16" s="9"/>
      <c r="E16" s="9"/>
    </row>
    <row r="17" customFormat="false" ht="15" hidden="false" customHeight="true" outlineLevel="0" collapsed="false">
      <c r="A17" s="8" t="s">
        <v>836</v>
      </c>
      <c r="B17" s="8" t="s">
        <v>837</v>
      </c>
      <c r="C17" s="9" t="s">
        <v>54</v>
      </c>
      <c r="D17" s="9"/>
      <c r="E17" s="9"/>
    </row>
    <row r="18" customFormat="false" ht="15" hidden="false" customHeight="true" outlineLevel="0" collapsed="false">
      <c r="A18" s="8" t="s">
        <v>836</v>
      </c>
      <c r="B18" s="8" t="s">
        <v>838</v>
      </c>
      <c r="C18" s="9" t="s">
        <v>54</v>
      </c>
      <c r="D18" s="9"/>
      <c r="E18" s="9"/>
    </row>
    <row r="19" customFormat="false" ht="15" hidden="false" customHeight="true" outlineLevel="0" collapsed="false">
      <c r="A19" s="8" t="s">
        <v>836</v>
      </c>
      <c r="B19" s="8" t="s">
        <v>839</v>
      </c>
      <c r="C19" s="9" t="s">
        <v>54</v>
      </c>
      <c r="D19" s="9"/>
      <c r="E19" s="9"/>
    </row>
    <row r="20" customFormat="false" ht="15" hidden="false" customHeight="true" outlineLevel="0" collapsed="false">
      <c r="A20" s="8" t="s">
        <v>836</v>
      </c>
      <c r="B20" s="8" t="s">
        <v>840</v>
      </c>
      <c r="C20" s="9" t="s">
        <v>54</v>
      </c>
      <c r="D20" s="9"/>
      <c r="E20" s="9"/>
    </row>
    <row r="21" customFormat="false" ht="15" hidden="false" customHeight="true" outlineLevel="0" collapsed="false">
      <c r="A21" s="8" t="s">
        <v>701</v>
      </c>
      <c r="B21" s="8" t="s">
        <v>841</v>
      </c>
      <c r="C21" s="9" t="s">
        <v>54</v>
      </c>
      <c r="D21" s="9"/>
      <c r="E21" s="9"/>
    </row>
    <row r="22" customFormat="false" ht="15" hidden="false" customHeight="true" outlineLevel="0" collapsed="false">
      <c r="A22" s="8" t="s">
        <v>701</v>
      </c>
      <c r="B22" s="8" t="s">
        <v>842</v>
      </c>
      <c r="C22" s="9" t="s">
        <v>54</v>
      </c>
      <c r="D22" s="9"/>
      <c r="E22" s="9"/>
    </row>
    <row r="23" customFormat="false" ht="15" hidden="false" customHeight="true" outlineLevel="0" collapsed="false">
      <c r="A23" s="8" t="s">
        <v>701</v>
      </c>
      <c r="B23" s="8" t="s">
        <v>843</v>
      </c>
      <c r="C23" s="9" t="s">
        <v>54</v>
      </c>
      <c r="D23" s="9"/>
      <c r="E23" s="9"/>
    </row>
    <row r="24" customFormat="false" ht="15" hidden="false" customHeight="true" outlineLevel="0" collapsed="false">
      <c r="A24" s="8" t="s">
        <v>844</v>
      </c>
      <c r="B24" s="8" t="s">
        <v>845</v>
      </c>
      <c r="C24" s="9" t="s">
        <v>54</v>
      </c>
      <c r="D24" s="9"/>
      <c r="E24" s="9"/>
    </row>
    <row r="25" customFormat="false" ht="15" hidden="false" customHeight="true" outlineLevel="0" collapsed="false">
      <c r="A25" s="8" t="s">
        <v>844</v>
      </c>
      <c r="B25" s="8" t="s">
        <v>846</v>
      </c>
      <c r="C25" s="9" t="s">
        <v>54</v>
      </c>
      <c r="D25" s="9"/>
      <c r="E25" s="9"/>
    </row>
    <row r="26" customFormat="false" ht="15" hidden="false" customHeight="true" outlineLevel="0" collapsed="false">
      <c r="A26" s="8" t="s">
        <v>844</v>
      </c>
      <c r="B26" s="8" t="s">
        <v>847</v>
      </c>
      <c r="C26" s="9" t="s">
        <v>54</v>
      </c>
      <c r="D26" s="9"/>
      <c r="E26" s="9"/>
    </row>
    <row r="27" customFormat="false" ht="15" hidden="false" customHeight="true" outlineLevel="0" collapsed="false">
      <c r="A27" s="8" t="s">
        <v>848</v>
      </c>
      <c r="B27" s="8" t="s">
        <v>849</v>
      </c>
      <c r="C27" s="9" t="s">
        <v>54</v>
      </c>
      <c r="D27" s="9"/>
      <c r="E27" s="9"/>
    </row>
    <row r="28" customFormat="false" ht="15" hidden="false" customHeight="true" outlineLevel="0" collapsed="false">
      <c r="A28" s="8" t="s">
        <v>848</v>
      </c>
      <c r="B28" s="8" t="s">
        <v>850</v>
      </c>
      <c r="C28" s="9" t="s">
        <v>54</v>
      </c>
      <c r="D28" s="9"/>
      <c r="E28" s="9"/>
    </row>
    <row r="29" customFormat="false" ht="15" hidden="false" customHeight="true" outlineLevel="0" collapsed="false">
      <c r="A29" s="8" t="s">
        <v>848</v>
      </c>
      <c r="B29" s="8" t="s">
        <v>851</v>
      </c>
      <c r="C29" s="9" t="s">
        <v>54</v>
      </c>
      <c r="D29" s="9"/>
      <c r="E29" s="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2026-03-08T10:38:27Z</dcterms:created>
  <dc:creator>openpyxl</dc:creator>
  <dc:description/>
  <dc:language>en-US</dc:language>
  <cp:lastModifiedBy/>
  <dcterms:modified xsi:type="dcterms:W3CDTF">2026-03-08T10:38:52Z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